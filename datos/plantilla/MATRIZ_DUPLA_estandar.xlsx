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Z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LISTAS" sheetId="4" state="visible" r:id="rId4"/>
  </sheets>
  <definedNames>
    <definedName name="_xlnm._FilterDatabase" localSheetId="1" hidden="1">'MATRIZ'!$A$1:$AK$1001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3B2475"/>
      <sz val="16"/>
    </font>
    <font>
      <name val="Arial"/>
      <color rgb="005F5872"/>
      <sz val="10"/>
    </font>
    <font>
      <name val="Arial"/>
      <b val="1"/>
      <sz val="10"/>
    </font>
    <font>
      <name val="Arial"/>
      <sz val="10"/>
    </font>
    <font>
      <name val="Arial"/>
      <b val="1"/>
      <color rgb="003B2475"/>
      <sz val="12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3B2475"/>
      </patternFill>
    </fill>
    <fill>
      <patternFill patternType="solid">
        <fgColor rgb="008A8299"/>
      </patternFill>
    </fill>
    <fill>
      <patternFill patternType="solid">
        <fgColor rgb="009673CF"/>
      </patternFill>
    </fill>
    <fill>
      <patternFill patternType="solid">
        <fgColor rgb="006A42AE"/>
      </patternFill>
    </fill>
    <fill>
      <patternFill patternType="solid">
        <fgColor rgb="00F1EEF6"/>
      </patternFill>
    </fill>
  </fills>
  <borders count="3">
    <border>
      <left/>
      <right/>
      <top/>
      <bottom/>
      <diagonal/>
    </border>
    <border>
      <bottom style="thin">
        <color rgb="00D9D2E3"/>
      </bottom>
    </border>
    <border>
      <right style="thin">
        <color rgb="00D9D2E3"/>
      </right>
      <bottom style="thin">
        <color rgb="00D9D2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4" fillId="0" borderId="1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4" fillId="6" borderId="2" pivotButton="0" quotePrefix="0" xfId="0"/>
    <xf numFmtId="164" fontId="4" fillId="0" borderId="2" pivotButton="0" quotePrefix="0" xfId="0"/>
    <xf numFmtId="0" fontId="4" fillId="0" borderId="2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9B1C3D"/>
      </font>
      <fill>
        <patternFill patternType="solid">
          <fgColor rgb="00FBD5DF"/>
        </patternFill>
      </fill>
    </dxf>
    <dxf>
      <font>
        <b val="1"/>
        <color rgb="001F7A3A"/>
      </font>
      <fill>
        <patternFill patternType="solid">
          <fgColor rgb="00DFF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049006" cy="72009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5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60" customWidth="1" min="3" max="3"/>
    <col width="40" customWidth="1" min="4" max="4"/>
  </cols>
  <sheetData>
    <row r="6">
      <c r="A6" s="1" t="inlineStr">
        <is>
          <t>Matriz estandarizada de atenciones · Dupla Violeta</t>
        </is>
      </c>
    </row>
    <row r="7">
      <c r="A7" s="2" t="inlineStr">
        <is>
          <t>Gobernación de Nariño · Secretaría de Equidad de Género e Inclusión Social · Geovisor SEGIS</t>
        </is>
      </c>
    </row>
    <row r="9" ht="58" customHeight="1">
      <c r="A9" s="3" t="inlineStr">
        <is>
          <t>Un archivo por año</t>
        </is>
      </c>
      <c r="B9" s="4" t="inlineStr">
        <is>
          <t>Use un solo archivo por año (MATRIZ_DUPLA_2026.xlsx) y agregue cada mes las atenciones nuevas al final. Así el código de caso sigue la numeración del año. Cada mes cargue el archivo completo al geovisor (pestaña Dupla Violeta → «Cargar matriz del mes»): los meses que ya existían se actualizan.</t>
        </is>
      </c>
    </row>
    <row r="10" ht="58" customHeight="1">
      <c r="A10" s="3" t="inlineStr">
        <is>
          <t>Código de caso</t>
        </is>
      </c>
      <c r="B10" s="4" t="inlineStr">
        <is>
          <t>Se genera solo: CÓDIGO DANE - AÑO - CONSECUTIVO del municipio en el año. Ejemplo: 52001-2026-0001 es el primer caso de Pasto en 2026; 52001-2026-0002 el segundo; 52356-2026-0001 el primero de Ipiales. Con 4 cifras alcanza para 9.999 casos por municipio al año.</t>
        </is>
      </c>
    </row>
    <row r="11" ht="58" customHeight="1">
      <c r="A11" s="3" t="inlineStr">
        <is>
          <t>No reordene las filas</t>
        </is>
      </c>
      <c r="B11" s="4" t="inlineStr">
        <is>
          <t>El consecutivo depende del orden de las filas. Agregue siempre al final. Si necesita ordenar o filtrar para revisar, use el filtro sin mover filas; si va a mover filas, primero copie la columna CODIGO_CASO y péguela como valores.</t>
        </is>
      </c>
    </row>
    <row r="12" ht="58" customHeight="1">
      <c r="A12" s="3" t="inlineStr">
        <is>
          <t>Ubicación</t>
        </is>
      </c>
      <c r="B12" s="4" t="inlineStr">
        <is>
          <t>Elija SUBREGION, MUNICIPIO y ZONA. Si es urbana, diligencie COMUNA (Pasto y Tumaco) y BARRIO; si es rural, CORREGIMIENTO y VEREDA. Las listas de comuna, barrio, corregimiento y vereda muestran solo las del municipio elegido. Si el nombre no está en la lista, escríbalo (el archivo lo acepta).</t>
        </is>
      </c>
    </row>
    <row r="13" ht="58" customHeight="1">
      <c r="A13" s="3" t="inlineStr">
        <is>
          <t>Listas desplegables</t>
        </is>
      </c>
      <c r="B13" s="4" t="inlineStr">
        <is>
          <t>En las demás columnas elija siempre de la lista. En Excel puede escribir las primeras letras para encontrar la opción.</t>
        </is>
      </c>
    </row>
    <row r="14" ht="58" customHeight="1">
      <c r="A14" s="3" t="inlineStr">
        <is>
          <t>Validación</t>
        </is>
      </c>
      <c r="B14" s="4" t="inlineStr">
        <is>
          <t>La columna VALIDACION debe decir «OK». Si dice otra cosa, indica qué corregir (fecha, dato obligatorio, subregión que no corresponde al municipio, ningún tipo de violencia, edad fuera de rango).</t>
        </is>
      </c>
    </row>
    <row r="15" ht="58" customHeight="1">
      <c r="A15" s="3" t="inlineStr">
        <is>
          <t>Privacidad</t>
        </is>
      </c>
      <c r="B15" s="4" t="inlineStr">
        <is>
          <t>NO incluya nombres, documentos, teléfonos, direcciones ni relatos. El seguimiento con datos personales se lleva en el registro interno de la Dupla, que no se carga al geovisor.</t>
        </is>
      </c>
    </row>
    <row r="16" ht="58" customHeight="1">
      <c r="A16" s="3" t="inlineStr">
        <is>
          <t>Columnas grises</t>
        </is>
      </c>
      <c r="B16" s="4" t="inlineStr">
        <is>
          <t>CODIGO_CASO, ANIO, CODIGO_DANE y VALIDACION se calculan solas; no las borre ni escriba encima.</t>
        </is>
      </c>
    </row>
    <row r="18">
      <c r="A18" s="5" t="inlineStr">
        <is>
          <t>Diccionario de columnas</t>
        </is>
      </c>
    </row>
    <row r="19">
      <c r="A19" s="6" t="inlineStr">
        <is>
          <t>Columna</t>
        </is>
      </c>
      <c r="B19" s="6" t="inlineStr">
        <is>
          <t>Obligatoria</t>
        </is>
      </c>
      <c r="C19" s="6" t="inlineStr">
        <is>
          <t>Opciones o formato</t>
        </is>
      </c>
      <c r="D19" s="6" t="inlineStr">
        <is>
          <t>Ayuda</t>
        </is>
      </c>
    </row>
    <row r="20">
      <c r="A20" s="7" t="inlineStr">
        <is>
          <t>CODIGO_CASO</t>
        </is>
      </c>
      <c r="B20" s="7" t="inlineStr">
        <is>
          <t>No</t>
        </is>
      </c>
      <c r="C20" s="7" t="inlineStr">
        <is>
          <t>Automática</t>
        </is>
      </c>
      <c r="D20" s="7" t="inlineStr">
        <is>
          <t>Se genera solo: código DANE del municipio - año - consecutivo</t>
        </is>
      </c>
    </row>
    <row r="21">
      <c r="A21" s="7" t="inlineStr">
        <is>
          <t>FECHA_ATENCION</t>
        </is>
      </c>
      <c r="B21" s="7" t="inlineStr">
        <is>
          <t>Sí</t>
        </is>
      </c>
      <c r="C21" s="7" t="inlineStr">
        <is>
          <t>Fecha dd/mm/aaaa</t>
        </is>
      </c>
      <c r="D21" s="7" t="inlineStr">
        <is>
          <t>dd/mm/aaaa</t>
        </is>
      </c>
    </row>
    <row r="22">
      <c r="A22" s="7" t="inlineStr">
        <is>
          <t>ANIO</t>
        </is>
      </c>
      <c r="B22" s="7" t="inlineStr">
        <is>
          <t>No</t>
        </is>
      </c>
      <c r="C22" s="7" t="inlineStr">
        <is>
          <t>Automática</t>
        </is>
      </c>
      <c r="D22" s="7" t="inlineStr">
        <is>
          <t>Se llena solo</t>
        </is>
      </c>
    </row>
    <row r="23">
      <c r="A23" s="7" t="inlineStr">
        <is>
          <t>SUBREGION</t>
        </is>
      </c>
      <c r="B23" s="7" t="inlineStr">
        <is>
          <t>Sí</t>
        </is>
      </c>
      <c r="C23" s="7" t="inlineStr">
        <is>
          <t>Centro, Guambuyaco, Juanambú, La Cordillera, La Sabana, Los Abades, Obando, Occidente, Pacífico Sur, Piedemonte Costero, Río Mayo, Sanquianga, Telembí</t>
        </is>
      </c>
      <c r="D23" s="7" t="inlineStr">
        <is>
          <t>Subregión del municipio</t>
        </is>
      </c>
    </row>
    <row r="24">
      <c r="A24" s="7" t="inlineStr">
        <is>
          <t>MUNICIPIO</t>
        </is>
      </c>
      <c r="B24" s="7" t="inlineStr">
        <is>
          <t>Sí</t>
        </is>
      </c>
      <c r="C24" s="7" t="inlineStr">
        <is>
          <t>Lista de los 64 municipios</t>
        </is>
      </c>
      <c r="D24" s="7" t="inlineStr">
        <is>
          <t>Municipio donde ocurrieron los hechos. Escriba la letra inicial para ubicarlo</t>
        </is>
      </c>
    </row>
    <row r="25">
      <c r="A25" s="7" t="inlineStr">
        <is>
          <t>CODIGO_DANE</t>
        </is>
      </c>
      <c r="B25" s="7" t="inlineStr">
        <is>
          <t>No</t>
        </is>
      </c>
      <c r="C25" s="7" t="inlineStr">
        <is>
          <t>Automática</t>
        </is>
      </c>
      <c r="D25" s="7" t="inlineStr">
        <is>
          <t>Se llena solo</t>
        </is>
      </c>
    </row>
    <row r="26">
      <c r="A26" s="7" t="inlineStr">
        <is>
          <t>ZONA</t>
        </is>
      </c>
      <c r="B26" s="7" t="inlineStr">
        <is>
          <t>Sí</t>
        </is>
      </c>
      <c r="C26" s="7" t="inlineStr">
        <is>
          <t>Urbana, Rural</t>
        </is>
      </c>
      <c r="D26" s="7" t="inlineStr">
        <is>
          <t>Urbana: cabecera, comuna o barrio. Rural: corregimiento o vereda</t>
        </is>
      </c>
    </row>
    <row r="27">
      <c r="A27" s="7" t="inlineStr">
        <is>
          <t>COMUNA</t>
        </is>
      </c>
      <c r="B27" s="7" t="inlineStr">
        <is>
          <t>No</t>
        </is>
      </c>
      <c r="C27" s="7" t="inlineStr">
        <is>
          <t>Lista según el municipio (o escriba el nombre)</t>
        </is>
      </c>
      <c r="D27" s="7" t="inlineStr">
        <is>
          <t>Solo zona urbana de Pasto o Tumaco</t>
        </is>
      </c>
    </row>
    <row r="28">
      <c r="A28" s="7" t="inlineStr">
        <is>
          <t>BARRIO</t>
        </is>
      </c>
      <c r="B28" s="7" t="inlineStr">
        <is>
          <t>No</t>
        </is>
      </c>
      <c r="C28" s="7" t="inlineStr">
        <is>
          <t>Lista según el municipio (o escriba el nombre)</t>
        </is>
      </c>
      <c r="D28" s="7" t="inlineStr">
        <is>
          <t>Lista para Pasto; en otros municipios escriba el nombre</t>
        </is>
      </c>
    </row>
    <row r="29">
      <c r="A29" s="7" t="inlineStr">
        <is>
          <t>CORREGIMIENTO</t>
        </is>
      </c>
      <c r="B29" s="7" t="inlineStr">
        <is>
          <t>No</t>
        </is>
      </c>
      <c r="C29" s="7" t="inlineStr">
        <is>
          <t>Lista según el municipio (o escriba el nombre)</t>
        </is>
      </c>
      <c r="D29" s="7" t="inlineStr">
        <is>
          <t>Lista de centros poblados del municipio</t>
        </is>
      </c>
    </row>
    <row r="30">
      <c r="A30" s="7" t="inlineStr">
        <is>
          <t>VEREDA</t>
        </is>
      </c>
      <c r="B30" s="7" t="inlineStr">
        <is>
          <t>No</t>
        </is>
      </c>
      <c r="C30" s="7" t="inlineStr">
        <is>
          <t>Lista según el municipio (o escriba el nombre)</t>
        </is>
      </c>
      <c r="D30" s="7" t="inlineStr">
        <is>
          <t>Lista de veredas del municipio (DANE)</t>
        </is>
      </c>
    </row>
    <row r="31">
      <c r="A31" s="7" t="inlineStr">
        <is>
          <t>EDAD</t>
        </is>
      </c>
      <c r="B31" s="7" t="inlineStr">
        <is>
          <t>No</t>
        </is>
      </c>
      <c r="C31" s="7" t="inlineStr">
        <is>
          <t>Número entero</t>
        </is>
      </c>
      <c r="D31" s="7" t="inlineStr">
        <is>
          <t>Vacío si no se conoce</t>
        </is>
      </c>
    </row>
    <row r="32">
      <c r="A32" s="7" t="inlineStr">
        <is>
          <t>HIJOS_MENORES</t>
        </is>
      </c>
      <c r="B32" s="7" t="inlineStr">
        <is>
          <t>No</t>
        </is>
      </c>
      <c r="C32" s="7" t="inlineStr">
        <is>
          <t>Sí, No, No registra</t>
        </is>
      </c>
      <c r="D32" s="7" t="inlineStr"/>
    </row>
    <row r="33">
      <c r="A33" s="7" t="inlineStr">
        <is>
          <t>EPS</t>
        </is>
      </c>
      <c r="B33" s="7" t="inlineStr">
        <is>
          <t>No</t>
        </is>
      </c>
      <c r="C33" s="7" t="inlineStr">
        <is>
          <t>Texto libre corto</t>
        </is>
      </c>
      <c r="D33" s="7" t="inlineStr"/>
    </row>
    <row r="34">
      <c r="A34" s="7" t="inlineStr">
        <is>
          <t>ETNIA</t>
        </is>
      </c>
      <c r="B34" s="7" t="inlineStr">
        <is>
          <t>Sí</t>
        </is>
      </c>
      <c r="C34" s="7" t="inlineStr">
        <is>
          <t>Mestiza, Indígena, Afrodescendiente, Gitana (Rrom), No registra</t>
        </is>
      </c>
      <c r="D34" s="7" t="inlineStr"/>
    </row>
    <row r="35">
      <c r="A35" s="7" t="inlineStr">
        <is>
          <t>IDENTIDAD_GENERO</t>
        </is>
      </c>
      <c r="B35" s="7" t="inlineStr">
        <is>
          <t>Sí</t>
        </is>
      </c>
      <c r="C35" s="7" t="inlineStr">
        <is>
          <t>Mujer, Mujer trans, Hombre, Hombre trans, Persona no binaria, Otra, No registra</t>
        </is>
      </c>
      <c r="D35" s="7" t="inlineStr"/>
    </row>
    <row r="36">
      <c r="A36" s="7" t="inlineStr">
        <is>
          <t>ORIENTACION_SEXUAL</t>
        </is>
      </c>
      <c r="B36" s="7" t="inlineStr">
        <is>
          <t>Sí</t>
        </is>
      </c>
      <c r="C36" s="7" t="inlineStr">
        <is>
          <t>Heterosexual, Lesbiana, Gay, Bisexual, Otra, No registra</t>
        </is>
      </c>
      <c r="D36" s="7" t="inlineStr"/>
    </row>
    <row r="37">
      <c r="A37" s="7" t="inlineStr">
        <is>
          <t>VICTIMA_CONFLICTO</t>
        </is>
      </c>
      <c r="B37" s="7" t="inlineStr">
        <is>
          <t>Sí</t>
        </is>
      </c>
      <c r="C37" s="7" t="inlineStr">
        <is>
          <t>Sí, No</t>
        </is>
      </c>
      <c r="D37" s="7" t="inlineStr"/>
    </row>
    <row r="38">
      <c r="A38" s="7" t="inlineStr">
        <is>
          <t>LIDERESA</t>
        </is>
      </c>
      <c r="B38" s="7" t="inlineStr">
        <is>
          <t>Sí</t>
        </is>
      </c>
      <c r="C38" s="7" t="inlineStr">
        <is>
          <t>Sí, No</t>
        </is>
      </c>
      <c r="D38" s="7" t="inlineStr"/>
    </row>
    <row r="39">
      <c r="A39" s="7" t="inlineStr">
        <is>
          <t>MIGRANTE</t>
        </is>
      </c>
      <c r="B39" s="7" t="inlineStr">
        <is>
          <t>Sí</t>
        </is>
      </c>
      <c r="C39" s="7" t="inlineStr">
        <is>
          <t>Sí, No</t>
        </is>
      </c>
      <c r="D39" s="7" t="inlineStr"/>
    </row>
    <row r="40">
      <c r="A40" s="7" t="inlineStr">
        <is>
          <t>DISCAPACIDAD</t>
        </is>
      </c>
      <c r="B40" s="7" t="inlineStr">
        <is>
          <t>Sí</t>
        </is>
      </c>
      <c r="C40" s="7" t="inlineStr">
        <is>
          <t>Sí, No</t>
        </is>
      </c>
      <c r="D40" s="7" t="inlineStr"/>
    </row>
    <row r="41">
      <c r="A41" s="7" t="inlineStr">
        <is>
          <t>V_PSICOLOGICA</t>
        </is>
      </c>
      <c r="B41" s="7" t="inlineStr">
        <is>
          <t>Sí</t>
        </is>
      </c>
      <c r="C41" s="7" t="inlineStr">
        <is>
          <t>Sí, No</t>
        </is>
      </c>
      <c r="D41" s="7" t="inlineStr"/>
    </row>
    <row r="42">
      <c r="A42" s="7" t="inlineStr">
        <is>
          <t>V_FISICA</t>
        </is>
      </c>
      <c r="B42" s="7" t="inlineStr">
        <is>
          <t>Sí</t>
        </is>
      </c>
      <c r="C42" s="7" t="inlineStr">
        <is>
          <t>Sí, No</t>
        </is>
      </c>
      <c r="D42" s="7" t="inlineStr"/>
    </row>
    <row r="43">
      <c r="A43" s="7" t="inlineStr">
        <is>
          <t>V_SEXUAL</t>
        </is>
      </c>
      <c r="B43" s="7" t="inlineStr">
        <is>
          <t>Sí</t>
        </is>
      </c>
      <c r="C43" s="7" t="inlineStr">
        <is>
          <t>Sí, No</t>
        </is>
      </c>
      <c r="D43" s="7" t="inlineStr"/>
    </row>
    <row r="44">
      <c r="A44" s="7" t="inlineStr">
        <is>
          <t>V_ECONOMICA</t>
        </is>
      </c>
      <c r="B44" s="7" t="inlineStr">
        <is>
          <t>Sí</t>
        </is>
      </c>
      <c r="C44" s="7" t="inlineStr">
        <is>
          <t>Sí, No</t>
        </is>
      </c>
      <c r="D44" s="7" t="inlineStr"/>
    </row>
    <row r="45">
      <c r="A45" s="7" t="inlineStr">
        <is>
          <t>INTENTO_FEMINICIDIO</t>
        </is>
      </c>
      <c r="B45" s="7" t="inlineStr">
        <is>
          <t>Sí</t>
        </is>
      </c>
      <c r="C45" s="7" t="inlineStr">
        <is>
          <t>Sí, No</t>
        </is>
      </c>
      <c r="D45" s="7" t="inlineStr"/>
    </row>
    <row r="46">
      <c r="A46" s="7" t="inlineStr">
        <is>
          <t>FEMINICIDIO</t>
        </is>
      </c>
      <c r="B46" s="7" t="inlineStr">
        <is>
          <t>Sí</t>
        </is>
      </c>
      <c r="C46" s="7" t="inlineStr">
        <is>
          <t>Sí, No</t>
        </is>
      </c>
      <c r="D46" s="7" t="inlineStr"/>
    </row>
    <row r="47">
      <c r="A47" s="7" t="inlineStr">
        <is>
          <t>LUGAR_HECHOS</t>
        </is>
      </c>
      <c r="B47" s="7" t="inlineStr">
        <is>
          <t>Sí</t>
        </is>
      </c>
      <c r="C47" s="7" t="inlineStr">
        <is>
          <t>Vivienda, Vía o espacio público, Lugar de trabajo, Institución educativa, Establecimiento de salud, Transporte público, Bar, discoteca u hotel, Zona rural (finca o campo), Medios digitales o redes sociales, Otro lugar, No registra</t>
        </is>
      </c>
      <c r="D47" s="7" t="inlineStr"/>
    </row>
    <row r="48">
      <c r="A48" s="7" t="inlineStr">
        <is>
          <t>AGRESOR</t>
        </is>
      </c>
      <c r="B48" s="7" t="inlineStr">
        <is>
          <t>Sí</t>
        </is>
      </c>
      <c r="C48" s="7" t="inlineStr">
        <is>
          <t>Pareja, Expareja, Padre o padrastro, Madre o madrastra, Hijo o hija, Hermano o hermana, Otro familiar, Conocido o vecino, Jefe, docente, funcionario o autoridad, Actor armado, Desconocido, Otro, No registra</t>
        </is>
      </c>
      <c r="D48" s="7" t="inlineStr">
        <is>
          <t>Relación de la persona agresora con la víctima</t>
        </is>
      </c>
    </row>
    <row r="49">
      <c r="A49" s="7" t="inlineStr">
        <is>
          <t>REM_COMISARIA</t>
        </is>
      </c>
      <c r="B49" s="7" t="inlineStr">
        <is>
          <t>Sí</t>
        </is>
      </c>
      <c r="C49" s="7" t="inlineStr">
        <is>
          <t>Sí, No</t>
        </is>
      </c>
      <c r="D49" s="7" t="inlineStr">
        <is>
          <t>Remisión a Comisaría de Familia</t>
        </is>
      </c>
    </row>
    <row r="50">
      <c r="A50" s="7" t="inlineStr">
        <is>
          <t>REM_FISCALIA</t>
        </is>
      </c>
      <c r="B50" s="7" t="inlineStr">
        <is>
          <t>Sí</t>
        </is>
      </c>
      <c r="C50" s="7" t="inlineStr">
        <is>
          <t>Sí, No</t>
        </is>
      </c>
      <c r="D50" s="7" t="inlineStr"/>
    </row>
    <row r="51">
      <c r="A51" s="7" t="inlineStr">
        <is>
          <t>REM_SALUD</t>
        </is>
      </c>
      <c r="B51" s="7" t="inlineStr">
        <is>
          <t>Sí</t>
        </is>
      </c>
      <c r="C51" s="7" t="inlineStr">
        <is>
          <t>Sí, No</t>
        </is>
      </c>
      <c r="D51" s="7" t="inlineStr"/>
    </row>
    <row r="52">
      <c r="A52" s="7" t="inlineStr">
        <is>
          <t>REM_POLICIA</t>
        </is>
      </c>
      <c r="B52" s="7" t="inlineStr">
        <is>
          <t>Sí</t>
        </is>
      </c>
      <c r="C52" s="7" t="inlineStr">
        <is>
          <t>Sí, No</t>
        </is>
      </c>
      <c r="D52" s="7" t="inlineStr"/>
    </row>
    <row r="53">
      <c r="A53" s="7" t="inlineStr">
        <is>
          <t>REM_DEFENSORIA</t>
        </is>
      </c>
      <c r="B53" s="7" t="inlineStr">
        <is>
          <t>Sí</t>
        </is>
      </c>
      <c r="C53" s="7" t="inlineStr">
        <is>
          <t>Sí, No</t>
        </is>
      </c>
      <c r="D53" s="7" t="inlineStr"/>
    </row>
    <row r="54">
      <c r="A54" s="7" t="inlineStr">
        <is>
          <t>REM_ICBF</t>
        </is>
      </c>
      <c r="B54" s="7" t="inlineStr">
        <is>
          <t>Sí</t>
        </is>
      </c>
      <c r="C54" s="7" t="inlineStr">
        <is>
          <t>Sí, No</t>
        </is>
      </c>
      <c r="D54" s="7" t="inlineStr"/>
    </row>
    <row r="55">
      <c r="A55" s="7" t="inlineStr">
        <is>
          <t>SEGUIMIENTO</t>
        </is>
      </c>
      <c r="B55" s="7" t="inlineStr">
        <is>
          <t>Sí</t>
        </is>
      </c>
      <c r="C55" s="7" t="inlineStr">
        <is>
          <t>Sí, No</t>
        </is>
      </c>
      <c r="D55" s="7" t="inlineStr"/>
    </row>
    <row r="56">
      <c r="A56" s="7" t="inlineStr">
        <is>
          <t>VALIDACION</t>
        </is>
      </c>
      <c r="B56" s="7" t="inlineStr">
        <is>
          <t>No</t>
        </is>
      </c>
      <c r="C56" s="7" t="inlineStr">
        <is>
          <t>Automática</t>
        </is>
      </c>
      <c r="D56" s="7" t="inlineStr">
        <is>
          <t>Debe decir «OK»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7" customWidth="1" min="3" max="3"/>
    <col width="17" customWidth="1" min="4" max="4"/>
    <col width="22" customWidth="1" min="5" max="5"/>
    <col width="11" customWidth="1" min="6" max="6"/>
    <col width="10" customWidth="1" min="7" max="7"/>
    <col width="13" customWidth="1" min="8" max="8"/>
    <col width="22" customWidth="1" min="9" max="9"/>
    <col width="22" customWidth="1" min="10" max="10"/>
    <col width="22" customWidth="1" min="11" max="11"/>
    <col width="7" customWidth="1" min="12" max="12"/>
    <col width="11" customWidth="1" min="13" max="13"/>
    <col width="16" customWidth="1" min="14" max="14"/>
    <col width="16" customWidth="1" min="15" max="15"/>
    <col width="17" customWidth="1" min="16" max="16"/>
    <col width="15" customWidth="1" min="17" max="17"/>
    <col width="11" customWidth="1" min="18" max="18"/>
    <col width="10" customWidth="1" min="19" max="19"/>
    <col width="10" customWidth="1" min="20" max="20"/>
    <col width="11" customWidth="1" min="21" max="21"/>
    <col width="11" customWidth="1" min="22" max="22"/>
    <col width="9" customWidth="1" min="23" max="23"/>
    <col width="9" customWidth="1" min="24" max="24"/>
    <col width="11" customWidth="1" min="25" max="25"/>
    <col width="11" customWidth="1" min="26" max="26"/>
    <col width="11" customWidth="1" min="27" max="27"/>
    <col width="26" customWidth="1" min="28" max="28"/>
    <col width="28" customWidth="1" min="29" max="29"/>
    <col width="11" customWidth="1" min="30" max="30"/>
    <col width="10" customWidth="1" min="31" max="31"/>
    <col width="9" customWidth="1" min="32" max="32"/>
    <col width="9" customWidth="1" min="33" max="33"/>
    <col width="11" customWidth="1" min="34" max="34"/>
    <col width="9" customWidth="1" min="35" max="35"/>
    <col width="11" customWidth="1" min="36" max="36"/>
    <col width="34" customWidth="1" min="37" max="37"/>
  </cols>
  <sheetData>
    <row r="1" ht="42" customHeight="1">
      <c r="A1" s="8" t="inlineStr">
        <is>
          <t>CODIGO_CASO</t>
        </is>
      </c>
      <c r="B1" s="9" t="inlineStr">
        <is>
          <t>FECHA_ATENCION</t>
        </is>
      </c>
      <c r="C1" s="8" t="inlineStr">
        <is>
          <t>ANIO</t>
        </is>
      </c>
      <c r="D1" s="9" t="inlineStr">
        <is>
          <t>SUBREGION</t>
        </is>
      </c>
      <c r="E1" s="9" t="inlineStr">
        <is>
          <t>MUNICIPIO</t>
        </is>
      </c>
      <c r="F1" s="8" t="inlineStr">
        <is>
          <t>CODIGO_DANE</t>
        </is>
      </c>
      <c r="G1" s="9" t="inlineStr">
        <is>
          <t>ZONA</t>
        </is>
      </c>
      <c r="H1" s="10" t="inlineStr">
        <is>
          <t>COMUNA</t>
        </is>
      </c>
      <c r="I1" s="10" t="inlineStr">
        <is>
          <t>BARRIO</t>
        </is>
      </c>
      <c r="J1" s="10" t="inlineStr">
        <is>
          <t>CORREGIMIENTO</t>
        </is>
      </c>
      <c r="K1" s="10" t="inlineStr">
        <is>
          <t>VEREDA</t>
        </is>
      </c>
      <c r="L1" s="11" t="inlineStr">
        <is>
          <t>EDAD</t>
        </is>
      </c>
      <c r="M1" s="11" t="inlineStr">
        <is>
          <t>HIJOS_MENORES</t>
        </is>
      </c>
      <c r="N1" s="11" t="inlineStr">
        <is>
          <t>EPS</t>
        </is>
      </c>
      <c r="O1" s="9" t="inlineStr">
        <is>
          <t>ETNIA</t>
        </is>
      </c>
      <c r="P1" s="9" t="inlineStr">
        <is>
          <t>IDENTIDAD_GENERO</t>
        </is>
      </c>
      <c r="Q1" s="9" t="inlineStr">
        <is>
          <t>ORIENTACION_SEXUAL</t>
        </is>
      </c>
      <c r="R1" s="9" t="inlineStr">
        <is>
          <t>VICTIMA_CONFLICTO</t>
        </is>
      </c>
      <c r="S1" s="9" t="inlineStr">
        <is>
          <t>LIDERESA</t>
        </is>
      </c>
      <c r="T1" s="9" t="inlineStr">
        <is>
          <t>MIGRANTE</t>
        </is>
      </c>
      <c r="U1" s="9" t="inlineStr">
        <is>
          <t>DISCAPACIDAD</t>
        </is>
      </c>
      <c r="V1" s="9" t="inlineStr">
        <is>
          <t>V_PSICOLOGICA</t>
        </is>
      </c>
      <c r="W1" s="9" t="inlineStr">
        <is>
          <t>V_FISICA</t>
        </is>
      </c>
      <c r="X1" s="9" t="inlineStr">
        <is>
          <t>V_SEXUAL</t>
        </is>
      </c>
      <c r="Y1" s="9" t="inlineStr">
        <is>
          <t>V_ECONOMICA</t>
        </is>
      </c>
      <c r="Z1" s="9" t="inlineStr">
        <is>
          <t>INTENTO_FEMINICIDIO</t>
        </is>
      </c>
      <c r="AA1" s="9" t="inlineStr">
        <is>
          <t>FEMINICIDIO</t>
        </is>
      </c>
      <c r="AB1" s="9" t="inlineStr">
        <is>
          <t>LUGAR_HECHOS</t>
        </is>
      </c>
      <c r="AC1" s="9" t="inlineStr">
        <is>
          <t>AGRESOR</t>
        </is>
      </c>
      <c r="AD1" s="9" t="inlineStr">
        <is>
          <t>REM_COMISARIA</t>
        </is>
      </c>
      <c r="AE1" s="9" t="inlineStr">
        <is>
          <t>REM_FISCALIA</t>
        </is>
      </c>
      <c r="AF1" s="9" t="inlineStr">
        <is>
          <t>REM_SALUD</t>
        </is>
      </c>
      <c r="AG1" s="9" t="inlineStr">
        <is>
          <t>REM_POLICIA</t>
        </is>
      </c>
      <c r="AH1" s="9" t="inlineStr">
        <is>
          <t>REM_DEFENSORIA</t>
        </is>
      </c>
      <c r="AI1" s="9" t="inlineStr">
        <is>
          <t>REM_ICBF</t>
        </is>
      </c>
      <c r="AJ1" s="9" t="inlineStr">
        <is>
          <t>SEGUIMIENTO</t>
        </is>
      </c>
      <c r="AK1" s="8" t="inlineStr">
        <is>
          <t>VALIDACION</t>
        </is>
      </c>
    </row>
    <row r="2">
      <c r="A2" s="12">
        <f>IF(OR(F2="",F2="Revisar",C2=""),"",F2&amp;"-"&amp;C2&amp;"-"&amp;TEXT(COUNTIFS($F$2:F2,F2,$C$2:C2,C2),"0000"))</f>
        <v/>
      </c>
      <c r="B2" s="13" t="n"/>
      <c r="C2" s="12">
        <f>IF(ISNUMBER(B2),YEAR(B2),"")</f>
        <v/>
      </c>
      <c r="D2" s="14" t="n"/>
      <c r="E2" s="14" t="n"/>
      <c r="F2" s="12">
        <f>IF(E2="","",IFERROR(VLOOKUP(E2,LISTAS!$A$2:$C$65,2,FALSE),"Revisar"))</f>
        <v/>
      </c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2">
        <f>IF(COUNTA(B2:B2)+COUNTA(D2:E2)+COUNTA(G2:AJ2)=0,"",IF(COUNTBLANK(B2:B2)+COUNTBLANK(D2:E2)+COUNTBLANK(G2:G2)+COUNTBLANK(O2:AJ2)&gt;0,"Faltan "&amp;(COUNTBLANK(B2:B2)+COUNTBLANK(D2:E2)+COUNTBLANK(G2:G2)+COUNTBLANK(O2:AJ2))&amp;" datos obligatorios",IF(NOT(ISNUMBER(B2)),"Fecha no válida",IF(N(B2)&gt;TODAY(),"Fecha futura",IF(IFERROR(VLOOKUP(E2,LISTAS!$A$2:$C$65,3,FALSE),"")&lt;&gt;D2,"La subregión no corresponde al municipio",IF(IF(L2="",FALSE,OR(L2&lt;0,L2&gt;110)),"Edad fuera de rango",IF((V2="Sí")+(W2="Sí")+(X2="Sí")+(Y2="Sí")=0,"Marque al menos un tipo de violencia","OK")))))))</f>
        <v/>
      </c>
    </row>
    <row r="3">
      <c r="A3" s="12">
        <f>IF(OR(F3="",F3="Revisar",C3=""),"",F3&amp;"-"&amp;C3&amp;"-"&amp;TEXT(COUNTIFS($F$2:F3,F3,$C$2:C3,C3),"0000"))</f>
        <v/>
      </c>
      <c r="B3" s="13" t="n"/>
      <c r="C3" s="12">
        <f>IF(ISNUMBER(B3),YEAR(B3),"")</f>
        <v/>
      </c>
      <c r="D3" s="14" t="n"/>
      <c r="E3" s="14" t="n"/>
      <c r="F3" s="12">
        <f>IF(E3="","",IFERROR(VLOOKUP(E3,LISTAS!$A$2:$C$65,2,FALSE),"Revisar"))</f>
        <v/>
      </c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2">
        <f>IF(COUNTA(B3:B3)+COUNTA(D3:E3)+COUNTA(G3:AJ3)=0,"",IF(COUNTBLANK(B3:B3)+COUNTBLANK(D3:E3)+COUNTBLANK(G3:G3)+COUNTBLANK(O3:AJ3)&gt;0,"Faltan "&amp;(COUNTBLANK(B3:B3)+COUNTBLANK(D3:E3)+COUNTBLANK(G3:G3)+COUNTBLANK(O3:AJ3))&amp;" datos obligatorios",IF(NOT(ISNUMBER(B3)),"Fecha no válida",IF(N(B3)&gt;TODAY(),"Fecha futura",IF(IFERROR(VLOOKUP(E3,LISTAS!$A$2:$C$65,3,FALSE),"")&lt;&gt;D3,"La subregión no corresponde al municipio",IF(IF(L3="",FALSE,OR(L3&lt;0,L3&gt;110)),"Edad fuera de rango",IF((V3="Sí")+(W3="Sí")+(X3="Sí")+(Y3="Sí")=0,"Marque al menos un tipo de violencia","OK")))))))</f>
        <v/>
      </c>
    </row>
    <row r="4">
      <c r="A4" s="12">
        <f>IF(OR(F4="",F4="Revisar",C4=""),"",F4&amp;"-"&amp;C4&amp;"-"&amp;TEXT(COUNTIFS($F$2:F4,F4,$C$2:C4,C4),"0000"))</f>
        <v/>
      </c>
      <c r="B4" s="13" t="n"/>
      <c r="C4" s="12">
        <f>IF(ISNUMBER(B4),YEAR(B4),"")</f>
        <v/>
      </c>
      <c r="D4" s="14" t="n"/>
      <c r="E4" s="14" t="n"/>
      <c r="F4" s="12">
        <f>IF(E4="","",IFERROR(VLOOKUP(E4,LISTAS!$A$2:$C$65,2,FALSE),"Revisar"))</f>
        <v/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2">
        <f>IF(COUNTA(B4:B4)+COUNTA(D4:E4)+COUNTA(G4:AJ4)=0,"",IF(COUNTBLANK(B4:B4)+COUNTBLANK(D4:E4)+COUNTBLANK(G4:G4)+COUNTBLANK(O4:AJ4)&gt;0,"Faltan "&amp;(COUNTBLANK(B4:B4)+COUNTBLANK(D4:E4)+COUNTBLANK(G4:G4)+COUNTBLANK(O4:AJ4))&amp;" datos obligatorios",IF(NOT(ISNUMBER(B4)),"Fecha no válida",IF(N(B4)&gt;TODAY(),"Fecha futura",IF(IFERROR(VLOOKUP(E4,LISTAS!$A$2:$C$65,3,FALSE),"")&lt;&gt;D4,"La subregión no corresponde al municipio",IF(IF(L4="",FALSE,OR(L4&lt;0,L4&gt;110)),"Edad fuera de rango",IF((V4="Sí")+(W4="Sí")+(X4="Sí")+(Y4="Sí")=0,"Marque al menos un tipo de violencia","OK")))))))</f>
        <v/>
      </c>
    </row>
    <row r="5">
      <c r="A5" s="12">
        <f>IF(OR(F5="",F5="Revisar",C5=""),"",F5&amp;"-"&amp;C5&amp;"-"&amp;TEXT(COUNTIFS($F$2:F5,F5,$C$2:C5,C5),"0000"))</f>
        <v/>
      </c>
      <c r="B5" s="13" t="n"/>
      <c r="C5" s="12">
        <f>IF(ISNUMBER(B5),YEAR(B5),"")</f>
        <v/>
      </c>
      <c r="D5" s="14" t="n"/>
      <c r="E5" s="14" t="n"/>
      <c r="F5" s="12">
        <f>IF(E5="","",IFERROR(VLOOKUP(E5,LISTAS!$A$2:$C$65,2,FALSE),"Revisar"))</f>
        <v/>
      </c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2">
        <f>IF(COUNTA(B5:B5)+COUNTA(D5:E5)+COUNTA(G5:AJ5)=0,"",IF(COUNTBLANK(B5:B5)+COUNTBLANK(D5:E5)+COUNTBLANK(G5:G5)+COUNTBLANK(O5:AJ5)&gt;0,"Faltan "&amp;(COUNTBLANK(B5:B5)+COUNTBLANK(D5:E5)+COUNTBLANK(G5:G5)+COUNTBLANK(O5:AJ5))&amp;" datos obligatorios",IF(NOT(ISNUMBER(B5)),"Fecha no válida",IF(N(B5)&gt;TODAY(),"Fecha futura",IF(IFERROR(VLOOKUP(E5,LISTAS!$A$2:$C$65,3,FALSE),"")&lt;&gt;D5,"La subregión no corresponde al municipio",IF(IF(L5="",FALSE,OR(L5&lt;0,L5&gt;110)),"Edad fuera de rango",IF((V5="Sí")+(W5="Sí")+(X5="Sí")+(Y5="Sí")=0,"Marque al menos un tipo de violencia","OK")))))))</f>
        <v/>
      </c>
    </row>
    <row r="6">
      <c r="A6" s="12">
        <f>IF(OR(F6="",F6="Revisar",C6=""),"",F6&amp;"-"&amp;C6&amp;"-"&amp;TEXT(COUNTIFS($F$2:F6,F6,$C$2:C6,C6),"0000"))</f>
        <v/>
      </c>
      <c r="B6" s="13" t="n"/>
      <c r="C6" s="12">
        <f>IF(ISNUMBER(B6),YEAR(B6),"")</f>
        <v/>
      </c>
      <c r="D6" s="14" t="n"/>
      <c r="E6" s="14" t="n"/>
      <c r="F6" s="12">
        <f>IF(E6="","",IFERROR(VLOOKUP(E6,LISTAS!$A$2:$C$65,2,FALSE),"Revisar"))</f>
        <v/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2">
        <f>IF(COUNTA(B6:B6)+COUNTA(D6:E6)+COUNTA(G6:AJ6)=0,"",IF(COUNTBLANK(B6:B6)+COUNTBLANK(D6:E6)+COUNTBLANK(G6:G6)+COUNTBLANK(O6:AJ6)&gt;0,"Faltan "&amp;(COUNTBLANK(B6:B6)+COUNTBLANK(D6:E6)+COUNTBLANK(G6:G6)+COUNTBLANK(O6:AJ6))&amp;" datos obligatorios",IF(NOT(ISNUMBER(B6)),"Fecha no válida",IF(N(B6)&gt;TODAY(),"Fecha futura",IF(IFERROR(VLOOKUP(E6,LISTAS!$A$2:$C$65,3,FALSE),"")&lt;&gt;D6,"La subregión no corresponde al municipio",IF(IF(L6="",FALSE,OR(L6&lt;0,L6&gt;110)),"Edad fuera de rango",IF((V6="Sí")+(W6="Sí")+(X6="Sí")+(Y6="Sí")=0,"Marque al menos un tipo de violencia","OK")))))))</f>
        <v/>
      </c>
    </row>
    <row r="7">
      <c r="A7" s="12">
        <f>IF(OR(F7="",F7="Revisar",C7=""),"",F7&amp;"-"&amp;C7&amp;"-"&amp;TEXT(COUNTIFS($F$2:F7,F7,$C$2:C7,C7),"0000"))</f>
        <v/>
      </c>
      <c r="B7" s="13" t="n"/>
      <c r="C7" s="12">
        <f>IF(ISNUMBER(B7),YEAR(B7),"")</f>
        <v/>
      </c>
      <c r="D7" s="14" t="n"/>
      <c r="E7" s="14" t="n"/>
      <c r="F7" s="12">
        <f>IF(E7="","",IFERROR(VLOOKUP(E7,LISTAS!$A$2:$C$65,2,FALSE),"Revisar"))</f>
        <v/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2">
        <f>IF(COUNTA(B7:B7)+COUNTA(D7:E7)+COUNTA(G7:AJ7)=0,"",IF(COUNTBLANK(B7:B7)+COUNTBLANK(D7:E7)+COUNTBLANK(G7:G7)+COUNTBLANK(O7:AJ7)&gt;0,"Faltan "&amp;(COUNTBLANK(B7:B7)+COUNTBLANK(D7:E7)+COUNTBLANK(G7:G7)+COUNTBLANK(O7:AJ7))&amp;" datos obligatorios",IF(NOT(ISNUMBER(B7)),"Fecha no válida",IF(N(B7)&gt;TODAY(),"Fecha futura",IF(IFERROR(VLOOKUP(E7,LISTAS!$A$2:$C$65,3,FALSE),"")&lt;&gt;D7,"La subregión no corresponde al municipio",IF(IF(L7="",FALSE,OR(L7&lt;0,L7&gt;110)),"Edad fuera de rango",IF((V7="Sí")+(W7="Sí")+(X7="Sí")+(Y7="Sí")=0,"Marque al menos un tipo de violencia","OK")))))))</f>
        <v/>
      </c>
    </row>
    <row r="8">
      <c r="A8" s="12">
        <f>IF(OR(F8="",F8="Revisar",C8=""),"",F8&amp;"-"&amp;C8&amp;"-"&amp;TEXT(COUNTIFS($F$2:F8,F8,$C$2:C8,C8),"0000"))</f>
        <v/>
      </c>
      <c r="B8" s="13" t="n"/>
      <c r="C8" s="12">
        <f>IF(ISNUMBER(B8),YEAR(B8),"")</f>
        <v/>
      </c>
      <c r="D8" s="14" t="n"/>
      <c r="E8" s="14" t="n"/>
      <c r="F8" s="12">
        <f>IF(E8="","",IFERROR(VLOOKUP(E8,LISTAS!$A$2:$C$65,2,FALSE),"Revisar"))</f>
        <v/>
      </c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2">
        <f>IF(COUNTA(B8:B8)+COUNTA(D8:E8)+COUNTA(G8:AJ8)=0,"",IF(COUNTBLANK(B8:B8)+COUNTBLANK(D8:E8)+COUNTBLANK(G8:G8)+COUNTBLANK(O8:AJ8)&gt;0,"Faltan "&amp;(COUNTBLANK(B8:B8)+COUNTBLANK(D8:E8)+COUNTBLANK(G8:G8)+COUNTBLANK(O8:AJ8))&amp;" datos obligatorios",IF(NOT(ISNUMBER(B8)),"Fecha no válida",IF(N(B8)&gt;TODAY(),"Fecha futura",IF(IFERROR(VLOOKUP(E8,LISTAS!$A$2:$C$65,3,FALSE),"")&lt;&gt;D8,"La subregión no corresponde al municipio",IF(IF(L8="",FALSE,OR(L8&lt;0,L8&gt;110)),"Edad fuera de rango",IF((V8="Sí")+(W8="Sí")+(X8="Sí")+(Y8="Sí")=0,"Marque al menos un tipo de violencia","OK")))))))</f>
        <v/>
      </c>
    </row>
    <row r="9">
      <c r="A9" s="12">
        <f>IF(OR(F9="",F9="Revisar",C9=""),"",F9&amp;"-"&amp;C9&amp;"-"&amp;TEXT(COUNTIFS($F$2:F9,F9,$C$2:C9,C9),"0000"))</f>
        <v/>
      </c>
      <c r="B9" s="13" t="n"/>
      <c r="C9" s="12">
        <f>IF(ISNUMBER(B9),YEAR(B9),"")</f>
        <v/>
      </c>
      <c r="D9" s="14" t="n"/>
      <c r="E9" s="14" t="n"/>
      <c r="F9" s="12">
        <f>IF(E9="","",IFERROR(VLOOKUP(E9,LISTAS!$A$2:$C$65,2,FALSE),"Revisar"))</f>
        <v/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2">
        <f>IF(COUNTA(B9:B9)+COUNTA(D9:E9)+COUNTA(G9:AJ9)=0,"",IF(COUNTBLANK(B9:B9)+COUNTBLANK(D9:E9)+COUNTBLANK(G9:G9)+COUNTBLANK(O9:AJ9)&gt;0,"Faltan "&amp;(COUNTBLANK(B9:B9)+COUNTBLANK(D9:E9)+COUNTBLANK(G9:G9)+COUNTBLANK(O9:AJ9))&amp;" datos obligatorios",IF(NOT(ISNUMBER(B9)),"Fecha no válida",IF(N(B9)&gt;TODAY(),"Fecha futura",IF(IFERROR(VLOOKUP(E9,LISTAS!$A$2:$C$65,3,FALSE),"")&lt;&gt;D9,"La subregión no corresponde al municipio",IF(IF(L9="",FALSE,OR(L9&lt;0,L9&gt;110)),"Edad fuera de rango",IF((V9="Sí")+(W9="Sí")+(X9="Sí")+(Y9="Sí")=0,"Marque al menos un tipo de violencia","OK")))))))</f>
        <v/>
      </c>
    </row>
    <row r="10">
      <c r="A10" s="12">
        <f>IF(OR(F10="",F10="Revisar",C10=""),"",F10&amp;"-"&amp;C10&amp;"-"&amp;TEXT(COUNTIFS($F$2:F10,F10,$C$2:C10,C10),"0000"))</f>
        <v/>
      </c>
      <c r="B10" s="13" t="n"/>
      <c r="C10" s="12">
        <f>IF(ISNUMBER(B10),YEAR(B10),"")</f>
        <v/>
      </c>
      <c r="D10" s="14" t="n"/>
      <c r="E10" s="14" t="n"/>
      <c r="F10" s="12">
        <f>IF(E10="","",IFERROR(VLOOKUP(E10,LISTAS!$A$2:$C$65,2,FALSE),"Revisar"))</f>
        <v/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2">
        <f>IF(COUNTA(B10:B10)+COUNTA(D10:E10)+COUNTA(G10:AJ10)=0,"",IF(COUNTBLANK(B10:B10)+COUNTBLANK(D10:E10)+COUNTBLANK(G10:G10)+COUNTBLANK(O10:AJ10)&gt;0,"Faltan "&amp;(COUNTBLANK(B10:B10)+COUNTBLANK(D10:E10)+COUNTBLANK(G10:G10)+COUNTBLANK(O10:AJ10))&amp;" datos obligatorios",IF(NOT(ISNUMBER(B10)),"Fecha no válida",IF(N(B10)&gt;TODAY(),"Fecha futura",IF(IFERROR(VLOOKUP(E10,LISTAS!$A$2:$C$65,3,FALSE),"")&lt;&gt;D10,"La subregión no corresponde al municipio",IF(IF(L10="",FALSE,OR(L10&lt;0,L10&gt;110)),"Edad fuera de rango",IF((V10="Sí")+(W10="Sí")+(X10="Sí")+(Y10="Sí")=0,"Marque al menos un tipo de violencia","OK")))))))</f>
        <v/>
      </c>
    </row>
    <row r="11">
      <c r="A11" s="12">
        <f>IF(OR(F11="",F11="Revisar",C11=""),"",F11&amp;"-"&amp;C11&amp;"-"&amp;TEXT(COUNTIFS($F$2:F11,F11,$C$2:C11,C11),"0000"))</f>
        <v/>
      </c>
      <c r="B11" s="13" t="n"/>
      <c r="C11" s="12">
        <f>IF(ISNUMBER(B11),YEAR(B11),"")</f>
        <v/>
      </c>
      <c r="D11" s="14" t="n"/>
      <c r="E11" s="14" t="n"/>
      <c r="F11" s="12">
        <f>IF(E11="","",IFERROR(VLOOKUP(E11,LISTAS!$A$2:$C$65,2,FALSE),"Revisar"))</f>
        <v/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2">
        <f>IF(COUNTA(B11:B11)+COUNTA(D11:E11)+COUNTA(G11:AJ11)=0,"",IF(COUNTBLANK(B11:B11)+COUNTBLANK(D11:E11)+COUNTBLANK(G11:G11)+COUNTBLANK(O11:AJ11)&gt;0,"Faltan "&amp;(COUNTBLANK(B11:B11)+COUNTBLANK(D11:E11)+COUNTBLANK(G11:G11)+COUNTBLANK(O11:AJ11))&amp;" datos obligatorios",IF(NOT(ISNUMBER(B11)),"Fecha no válida",IF(N(B11)&gt;TODAY(),"Fecha futura",IF(IFERROR(VLOOKUP(E11,LISTAS!$A$2:$C$65,3,FALSE),"")&lt;&gt;D11,"La subregión no corresponde al municipio",IF(IF(L11="",FALSE,OR(L11&lt;0,L11&gt;110)),"Edad fuera de rango",IF((V11="Sí")+(W11="Sí")+(X11="Sí")+(Y11="Sí")=0,"Marque al menos un tipo de violencia","OK")))))))</f>
        <v/>
      </c>
    </row>
    <row r="12">
      <c r="A12" s="12">
        <f>IF(OR(F12="",F12="Revisar",C12=""),"",F12&amp;"-"&amp;C12&amp;"-"&amp;TEXT(COUNTIFS($F$2:F12,F12,$C$2:C12,C12),"0000"))</f>
        <v/>
      </c>
      <c r="B12" s="13" t="n"/>
      <c r="C12" s="12">
        <f>IF(ISNUMBER(B12),YEAR(B12),"")</f>
        <v/>
      </c>
      <c r="D12" s="14" t="n"/>
      <c r="E12" s="14" t="n"/>
      <c r="F12" s="12">
        <f>IF(E12="","",IFERROR(VLOOKUP(E12,LISTAS!$A$2:$C$65,2,FALSE),"Revisar"))</f>
        <v/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2">
        <f>IF(COUNTA(B12:B12)+COUNTA(D12:E12)+COUNTA(G12:AJ12)=0,"",IF(COUNTBLANK(B12:B12)+COUNTBLANK(D12:E12)+COUNTBLANK(G12:G12)+COUNTBLANK(O12:AJ12)&gt;0,"Faltan "&amp;(COUNTBLANK(B12:B12)+COUNTBLANK(D12:E12)+COUNTBLANK(G12:G12)+COUNTBLANK(O12:AJ12))&amp;" datos obligatorios",IF(NOT(ISNUMBER(B12)),"Fecha no válida",IF(N(B12)&gt;TODAY(),"Fecha futura",IF(IFERROR(VLOOKUP(E12,LISTAS!$A$2:$C$65,3,FALSE),"")&lt;&gt;D12,"La subregión no corresponde al municipio",IF(IF(L12="",FALSE,OR(L12&lt;0,L12&gt;110)),"Edad fuera de rango",IF((V12="Sí")+(W12="Sí")+(X12="Sí")+(Y12="Sí")=0,"Marque al menos un tipo de violencia","OK")))))))</f>
        <v/>
      </c>
    </row>
    <row r="13">
      <c r="A13" s="12">
        <f>IF(OR(F13="",F13="Revisar",C13=""),"",F13&amp;"-"&amp;C13&amp;"-"&amp;TEXT(COUNTIFS($F$2:F13,F13,$C$2:C13,C13),"0000"))</f>
        <v/>
      </c>
      <c r="B13" s="13" t="n"/>
      <c r="C13" s="12">
        <f>IF(ISNUMBER(B13),YEAR(B13),"")</f>
        <v/>
      </c>
      <c r="D13" s="14" t="n"/>
      <c r="E13" s="14" t="n"/>
      <c r="F13" s="12">
        <f>IF(E13="","",IFERROR(VLOOKUP(E13,LISTAS!$A$2:$C$65,2,FALSE),"Revisar"))</f>
        <v/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2">
        <f>IF(COUNTA(B13:B13)+COUNTA(D13:E13)+COUNTA(G13:AJ13)=0,"",IF(COUNTBLANK(B13:B13)+COUNTBLANK(D13:E13)+COUNTBLANK(G13:G13)+COUNTBLANK(O13:AJ13)&gt;0,"Faltan "&amp;(COUNTBLANK(B13:B13)+COUNTBLANK(D13:E13)+COUNTBLANK(G13:G13)+COUNTBLANK(O13:AJ13))&amp;" datos obligatorios",IF(NOT(ISNUMBER(B13)),"Fecha no válida",IF(N(B13)&gt;TODAY(),"Fecha futura",IF(IFERROR(VLOOKUP(E13,LISTAS!$A$2:$C$65,3,FALSE),"")&lt;&gt;D13,"La subregión no corresponde al municipio",IF(IF(L13="",FALSE,OR(L13&lt;0,L13&gt;110)),"Edad fuera de rango",IF((V13="Sí")+(W13="Sí")+(X13="Sí")+(Y13="Sí")=0,"Marque al menos un tipo de violencia","OK")))))))</f>
        <v/>
      </c>
    </row>
    <row r="14">
      <c r="A14" s="12">
        <f>IF(OR(F14="",F14="Revisar",C14=""),"",F14&amp;"-"&amp;C14&amp;"-"&amp;TEXT(COUNTIFS($F$2:F14,F14,$C$2:C14,C14),"0000"))</f>
        <v/>
      </c>
      <c r="B14" s="13" t="n"/>
      <c r="C14" s="12">
        <f>IF(ISNUMBER(B14),YEAR(B14),"")</f>
        <v/>
      </c>
      <c r="D14" s="14" t="n"/>
      <c r="E14" s="14" t="n"/>
      <c r="F14" s="12">
        <f>IF(E14="","",IFERROR(VLOOKUP(E14,LISTAS!$A$2:$C$65,2,FALSE),"Revisar"))</f>
        <v/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2">
        <f>IF(COUNTA(B14:B14)+COUNTA(D14:E14)+COUNTA(G14:AJ14)=0,"",IF(COUNTBLANK(B14:B14)+COUNTBLANK(D14:E14)+COUNTBLANK(G14:G14)+COUNTBLANK(O14:AJ14)&gt;0,"Faltan "&amp;(COUNTBLANK(B14:B14)+COUNTBLANK(D14:E14)+COUNTBLANK(G14:G14)+COUNTBLANK(O14:AJ14))&amp;" datos obligatorios",IF(NOT(ISNUMBER(B14)),"Fecha no válida",IF(N(B14)&gt;TODAY(),"Fecha futura",IF(IFERROR(VLOOKUP(E14,LISTAS!$A$2:$C$65,3,FALSE),"")&lt;&gt;D14,"La subregión no corresponde al municipio",IF(IF(L14="",FALSE,OR(L14&lt;0,L14&gt;110)),"Edad fuera de rango",IF((V14="Sí")+(W14="Sí")+(X14="Sí")+(Y14="Sí")=0,"Marque al menos un tipo de violencia","OK")))))))</f>
        <v/>
      </c>
    </row>
    <row r="15">
      <c r="A15" s="12">
        <f>IF(OR(F15="",F15="Revisar",C15=""),"",F15&amp;"-"&amp;C15&amp;"-"&amp;TEXT(COUNTIFS($F$2:F15,F15,$C$2:C15,C15),"0000"))</f>
        <v/>
      </c>
      <c r="B15" s="13" t="n"/>
      <c r="C15" s="12">
        <f>IF(ISNUMBER(B15),YEAR(B15),"")</f>
        <v/>
      </c>
      <c r="D15" s="14" t="n"/>
      <c r="E15" s="14" t="n"/>
      <c r="F15" s="12">
        <f>IF(E15="","",IFERROR(VLOOKUP(E15,LISTAS!$A$2:$C$65,2,FALSE),"Revisar"))</f>
        <v/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2">
        <f>IF(COUNTA(B15:B15)+COUNTA(D15:E15)+COUNTA(G15:AJ15)=0,"",IF(COUNTBLANK(B15:B15)+COUNTBLANK(D15:E15)+COUNTBLANK(G15:G15)+COUNTBLANK(O15:AJ15)&gt;0,"Faltan "&amp;(COUNTBLANK(B15:B15)+COUNTBLANK(D15:E15)+COUNTBLANK(G15:G15)+COUNTBLANK(O15:AJ15))&amp;" datos obligatorios",IF(NOT(ISNUMBER(B15)),"Fecha no válida",IF(N(B15)&gt;TODAY(),"Fecha futura",IF(IFERROR(VLOOKUP(E15,LISTAS!$A$2:$C$65,3,FALSE),"")&lt;&gt;D15,"La subregión no corresponde al municipio",IF(IF(L15="",FALSE,OR(L15&lt;0,L15&gt;110)),"Edad fuera de rango",IF((V15="Sí")+(W15="Sí")+(X15="Sí")+(Y15="Sí")=0,"Marque al menos un tipo de violencia","OK")))))))</f>
        <v/>
      </c>
    </row>
    <row r="16">
      <c r="A16" s="12">
        <f>IF(OR(F16="",F16="Revisar",C16=""),"",F16&amp;"-"&amp;C16&amp;"-"&amp;TEXT(COUNTIFS($F$2:F16,F16,$C$2:C16,C16),"0000"))</f>
        <v/>
      </c>
      <c r="B16" s="13" t="n"/>
      <c r="C16" s="12">
        <f>IF(ISNUMBER(B16),YEAR(B16),"")</f>
        <v/>
      </c>
      <c r="D16" s="14" t="n"/>
      <c r="E16" s="14" t="n"/>
      <c r="F16" s="12">
        <f>IF(E16="","",IFERROR(VLOOKUP(E16,LISTAS!$A$2:$C$65,2,FALSE),"Revisar"))</f>
        <v/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2">
        <f>IF(COUNTA(B16:B16)+COUNTA(D16:E16)+COUNTA(G16:AJ16)=0,"",IF(COUNTBLANK(B16:B16)+COUNTBLANK(D16:E16)+COUNTBLANK(G16:G16)+COUNTBLANK(O16:AJ16)&gt;0,"Faltan "&amp;(COUNTBLANK(B16:B16)+COUNTBLANK(D16:E16)+COUNTBLANK(G16:G16)+COUNTBLANK(O16:AJ16))&amp;" datos obligatorios",IF(NOT(ISNUMBER(B16)),"Fecha no válida",IF(N(B16)&gt;TODAY(),"Fecha futura",IF(IFERROR(VLOOKUP(E16,LISTAS!$A$2:$C$65,3,FALSE),"")&lt;&gt;D16,"La subregión no corresponde al municipio",IF(IF(L16="",FALSE,OR(L16&lt;0,L16&gt;110)),"Edad fuera de rango",IF((V16="Sí")+(W16="Sí")+(X16="Sí")+(Y16="Sí")=0,"Marque al menos un tipo de violencia","OK")))))))</f>
        <v/>
      </c>
    </row>
    <row r="17">
      <c r="A17" s="12">
        <f>IF(OR(F17="",F17="Revisar",C17=""),"",F17&amp;"-"&amp;C17&amp;"-"&amp;TEXT(COUNTIFS($F$2:F17,F17,$C$2:C17,C17),"0000"))</f>
        <v/>
      </c>
      <c r="B17" s="13" t="n"/>
      <c r="C17" s="12">
        <f>IF(ISNUMBER(B17),YEAR(B17),"")</f>
        <v/>
      </c>
      <c r="D17" s="14" t="n"/>
      <c r="E17" s="14" t="n"/>
      <c r="F17" s="12">
        <f>IF(E17="","",IFERROR(VLOOKUP(E17,LISTAS!$A$2:$C$65,2,FALSE),"Revisar"))</f>
        <v/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2">
        <f>IF(COUNTA(B17:B17)+COUNTA(D17:E17)+COUNTA(G17:AJ17)=0,"",IF(COUNTBLANK(B17:B17)+COUNTBLANK(D17:E17)+COUNTBLANK(G17:G17)+COUNTBLANK(O17:AJ17)&gt;0,"Faltan "&amp;(COUNTBLANK(B17:B17)+COUNTBLANK(D17:E17)+COUNTBLANK(G17:G17)+COUNTBLANK(O17:AJ17))&amp;" datos obligatorios",IF(NOT(ISNUMBER(B17)),"Fecha no válida",IF(N(B17)&gt;TODAY(),"Fecha futura",IF(IFERROR(VLOOKUP(E17,LISTAS!$A$2:$C$65,3,FALSE),"")&lt;&gt;D17,"La subregión no corresponde al municipio",IF(IF(L17="",FALSE,OR(L17&lt;0,L17&gt;110)),"Edad fuera de rango",IF((V17="Sí")+(W17="Sí")+(X17="Sí")+(Y17="Sí")=0,"Marque al menos un tipo de violencia","OK")))))))</f>
        <v/>
      </c>
    </row>
    <row r="18">
      <c r="A18" s="12">
        <f>IF(OR(F18="",F18="Revisar",C18=""),"",F18&amp;"-"&amp;C18&amp;"-"&amp;TEXT(COUNTIFS($F$2:F18,F18,$C$2:C18,C18),"0000"))</f>
        <v/>
      </c>
      <c r="B18" s="13" t="n"/>
      <c r="C18" s="12">
        <f>IF(ISNUMBER(B18),YEAR(B18),"")</f>
        <v/>
      </c>
      <c r="D18" s="14" t="n"/>
      <c r="E18" s="14" t="n"/>
      <c r="F18" s="12">
        <f>IF(E18="","",IFERROR(VLOOKUP(E18,LISTAS!$A$2:$C$65,2,FALSE),"Revisar"))</f>
        <v/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2">
        <f>IF(COUNTA(B18:B18)+COUNTA(D18:E18)+COUNTA(G18:AJ18)=0,"",IF(COUNTBLANK(B18:B18)+COUNTBLANK(D18:E18)+COUNTBLANK(G18:G18)+COUNTBLANK(O18:AJ18)&gt;0,"Faltan "&amp;(COUNTBLANK(B18:B18)+COUNTBLANK(D18:E18)+COUNTBLANK(G18:G18)+COUNTBLANK(O18:AJ18))&amp;" datos obligatorios",IF(NOT(ISNUMBER(B18)),"Fecha no válida",IF(N(B18)&gt;TODAY(),"Fecha futura",IF(IFERROR(VLOOKUP(E18,LISTAS!$A$2:$C$65,3,FALSE),"")&lt;&gt;D18,"La subregión no corresponde al municipio",IF(IF(L18="",FALSE,OR(L18&lt;0,L18&gt;110)),"Edad fuera de rango",IF((V18="Sí")+(W18="Sí")+(X18="Sí")+(Y18="Sí")=0,"Marque al menos un tipo de violencia","OK")))))))</f>
        <v/>
      </c>
    </row>
    <row r="19">
      <c r="A19" s="12">
        <f>IF(OR(F19="",F19="Revisar",C19=""),"",F19&amp;"-"&amp;C19&amp;"-"&amp;TEXT(COUNTIFS($F$2:F19,F19,$C$2:C19,C19),"0000"))</f>
        <v/>
      </c>
      <c r="B19" s="13" t="n"/>
      <c r="C19" s="12">
        <f>IF(ISNUMBER(B19),YEAR(B19),"")</f>
        <v/>
      </c>
      <c r="D19" s="14" t="n"/>
      <c r="E19" s="14" t="n"/>
      <c r="F19" s="12">
        <f>IF(E19="","",IFERROR(VLOOKUP(E19,LISTAS!$A$2:$C$65,2,FALSE),"Revisar"))</f>
        <v/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2">
        <f>IF(COUNTA(B19:B19)+COUNTA(D19:E19)+COUNTA(G19:AJ19)=0,"",IF(COUNTBLANK(B19:B19)+COUNTBLANK(D19:E19)+COUNTBLANK(G19:G19)+COUNTBLANK(O19:AJ19)&gt;0,"Faltan "&amp;(COUNTBLANK(B19:B19)+COUNTBLANK(D19:E19)+COUNTBLANK(G19:G19)+COUNTBLANK(O19:AJ19))&amp;" datos obligatorios",IF(NOT(ISNUMBER(B19)),"Fecha no válida",IF(N(B19)&gt;TODAY(),"Fecha futura",IF(IFERROR(VLOOKUP(E19,LISTAS!$A$2:$C$65,3,FALSE),"")&lt;&gt;D19,"La subregión no corresponde al municipio",IF(IF(L19="",FALSE,OR(L19&lt;0,L19&gt;110)),"Edad fuera de rango",IF((V19="Sí")+(W19="Sí")+(X19="Sí")+(Y19="Sí")=0,"Marque al menos un tipo de violencia","OK")))))))</f>
        <v/>
      </c>
    </row>
    <row r="20">
      <c r="A20" s="12">
        <f>IF(OR(F20="",F20="Revisar",C20=""),"",F20&amp;"-"&amp;C20&amp;"-"&amp;TEXT(COUNTIFS($F$2:F20,F20,$C$2:C20,C20),"0000"))</f>
        <v/>
      </c>
      <c r="B20" s="13" t="n"/>
      <c r="C20" s="12">
        <f>IF(ISNUMBER(B20),YEAR(B20),"")</f>
        <v/>
      </c>
      <c r="D20" s="14" t="n"/>
      <c r="E20" s="14" t="n"/>
      <c r="F20" s="12">
        <f>IF(E20="","",IFERROR(VLOOKUP(E20,LISTAS!$A$2:$C$65,2,FALSE),"Revisar"))</f>
        <v/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2">
        <f>IF(COUNTA(B20:B20)+COUNTA(D20:E20)+COUNTA(G20:AJ20)=0,"",IF(COUNTBLANK(B20:B20)+COUNTBLANK(D20:E20)+COUNTBLANK(G20:G20)+COUNTBLANK(O20:AJ20)&gt;0,"Faltan "&amp;(COUNTBLANK(B20:B20)+COUNTBLANK(D20:E20)+COUNTBLANK(G20:G20)+COUNTBLANK(O20:AJ20))&amp;" datos obligatorios",IF(NOT(ISNUMBER(B20)),"Fecha no válida",IF(N(B20)&gt;TODAY(),"Fecha futura",IF(IFERROR(VLOOKUP(E20,LISTAS!$A$2:$C$65,3,FALSE),"")&lt;&gt;D20,"La subregión no corresponde al municipio",IF(IF(L20="",FALSE,OR(L20&lt;0,L20&gt;110)),"Edad fuera de rango",IF((V20="Sí")+(W20="Sí")+(X20="Sí")+(Y20="Sí")=0,"Marque al menos un tipo de violencia","OK")))))))</f>
        <v/>
      </c>
    </row>
    <row r="21">
      <c r="A21" s="12">
        <f>IF(OR(F21="",F21="Revisar",C21=""),"",F21&amp;"-"&amp;C21&amp;"-"&amp;TEXT(COUNTIFS($F$2:F21,F21,$C$2:C21,C21),"0000"))</f>
        <v/>
      </c>
      <c r="B21" s="13" t="n"/>
      <c r="C21" s="12">
        <f>IF(ISNUMBER(B21),YEAR(B21),"")</f>
        <v/>
      </c>
      <c r="D21" s="14" t="n"/>
      <c r="E21" s="14" t="n"/>
      <c r="F21" s="12">
        <f>IF(E21="","",IFERROR(VLOOKUP(E21,LISTAS!$A$2:$C$65,2,FALSE),"Revisar"))</f>
        <v/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2">
        <f>IF(COUNTA(B21:B21)+COUNTA(D21:E21)+COUNTA(G21:AJ21)=0,"",IF(COUNTBLANK(B21:B21)+COUNTBLANK(D21:E21)+COUNTBLANK(G21:G21)+COUNTBLANK(O21:AJ21)&gt;0,"Faltan "&amp;(COUNTBLANK(B21:B21)+COUNTBLANK(D21:E21)+COUNTBLANK(G21:G21)+COUNTBLANK(O21:AJ21))&amp;" datos obligatorios",IF(NOT(ISNUMBER(B21)),"Fecha no válida",IF(N(B21)&gt;TODAY(),"Fecha futura",IF(IFERROR(VLOOKUP(E21,LISTAS!$A$2:$C$65,3,FALSE),"")&lt;&gt;D21,"La subregión no corresponde al municipio",IF(IF(L21="",FALSE,OR(L21&lt;0,L21&gt;110)),"Edad fuera de rango",IF((V21="Sí")+(W21="Sí")+(X21="Sí")+(Y21="Sí")=0,"Marque al menos un tipo de violencia","OK")))))))</f>
        <v/>
      </c>
    </row>
    <row r="22">
      <c r="A22" s="12">
        <f>IF(OR(F22="",F22="Revisar",C22=""),"",F22&amp;"-"&amp;C22&amp;"-"&amp;TEXT(COUNTIFS($F$2:F22,F22,$C$2:C22,C22),"0000"))</f>
        <v/>
      </c>
      <c r="B22" s="13" t="n"/>
      <c r="C22" s="12">
        <f>IF(ISNUMBER(B22),YEAR(B22),"")</f>
        <v/>
      </c>
      <c r="D22" s="14" t="n"/>
      <c r="E22" s="14" t="n"/>
      <c r="F22" s="12">
        <f>IF(E22="","",IFERROR(VLOOKUP(E22,LISTAS!$A$2:$C$65,2,FALSE),"Revisar"))</f>
        <v/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2">
        <f>IF(COUNTA(B22:B22)+COUNTA(D22:E22)+COUNTA(G22:AJ22)=0,"",IF(COUNTBLANK(B22:B22)+COUNTBLANK(D22:E22)+COUNTBLANK(G22:G22)+COUNTBLANK(O22:AJ22)&gt;0,"Faltan "&amp;(COUNTBLANK(B22:B22)+COUNTBLANK(D22:E22)+COUNTBLANK(G22:G22)+COUNTBLANK(O22:AJ22))&amp;" datos obligatorios",IF(NOT(ISNUMBER(B22)),"Fecha no válida",IF(N(B22)&gt;TODAY(),"Fecha futura",IF(IFERROR(VLOOKUP(E22,LISTAS!$A$2:$C$65,3,FALSE),"")&lt;&gt;D22,"La subregión no corresponde al municipio",IF(IF(L22="",FALSE,OR(L22&lt;0,L22&gt;110)),"Edad fuera de rango",IF((V22="Sí")+(W22="Sí")+(X22="Sí")+(Y22="Sí")=0,"Marque al menos un tipo de violencia","OK")))))))</f>
        <v/>
      </c>
    </row>
    <row r="23">
      <c r="A23" s="12">
        <f>IF(OR(F23="",F23="Revisar",C23=""),"",F23&amp;"-"&amp;C23&amp;"-"&amp;TEXT(COUNTIFS($F$2:F23,F23,$C$2:C23,C23),"0000"))</f>
        <v/>
      </c>
      <c r="B23" s="13" t="n"/>
      <c r="C23" s="12">
        <f>IF(ISNUMBER(B23),YEAR(B23),"")</f>
        <v/>
      </c>
      <c r="D23" s="14" t="n"/>
      <c r="E23" s="14" t="n"/>
      <c r="F23" s="12">
        <f>IF(E23="","",IFERROR(VLOOKUP(E23,LISTAS!$A$2:$C$65,2,FALSE),"Revisar"))</f>
        <v/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2">
        <f>IF(COUNTA(B23:B23)+COUNTA(D23:E23)+COUNTA(G23:AJ23)=0,"",IF(COUNTBLANK(B23:B23)+COUNTBLANK(D23:E23)+COUNTBLANK(G23:G23)+COUNTBLANK(O23:AJ23)&gt;0,"Faltan "&amp;(COUNTBLANK(B23:B23)+COUNTBLANK(D23:E23)+COUNTBLANK(G23:G23)+COUNTBLANK(O23:AJ23))&amp;" datos obligatorios",IF(NOT(ISNUMBER(B23)),"Fecha no válida",IF(N(B23)&gt;TODAY(),"Fecha futura",IF(IFERROR(VLOOKUP(E23,LISTAS!$A$2:$C$65,3,FALSE),"")&lt;&gt;D23,"La subregión no corresponde al municipio",IF(IF(L23="",FALSE,OR(L23&lt;0,L23&gt;110)),"Edad fuera de rango",IF((V23="Sí")+(W23="Sí")+(X23="Sí")+(Y23="Sí")=0,"Marque al menos un tipo de violencia","OK")))))))</f>
        <v/>
      </c>
    </row>
    <row r="24">
      <c r="A24" s="12">
        <f>IF(OR(F24="",F24="Revisar",C24=""),"",F24&amp;"-"&amp;C24&amp;"-"&amp;TEXT(COUNTIFS($F$2:F24,F24,$C$2:C24,C24),"0000"))</f>
        <v/>
      </c>
      <c r="B24" s="13" t="n"/>
      <c r="C24" s="12">
        <f>IF(ISNUMBER(B24),YEAR(B24),"")</f>
        <v/>
      </c>
      <c r="D24" s="14" t="n"/>
      <c r="E24" s="14" t="n"/>
      <c r="F24" s="12">
        <f>IF(E24="","",IFERROR(VLOOKUP(E24,LISTAS!$A$2:$C$65,2,FALSE),"Revisar"))</f>
        <v/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2">
        <f>IF(COUNTA(B24:B24)+COUNTA(D24:E24)+COUNTA(G24:AJ24)=0,"",IF(COUNTBLANK(B24:B24)+COUNTBLANK(D24:E24)+COUNTBLANK(G24:G24)+COUNTBLANK(O24:AJ24)&gt;0,"Faltan "&amp;(COUNTBLANK(B24:B24)+COUNTBLANK(D24:E24)+COUNTBLANK(G24:G24)+COUNTBLANK(O24:AJ24))&amp;" datos obligatorios",IF(NOT(ISNUMBER(B24)),"Fecha no válida",IF(N(B24)&gt;TODAY(),"Fecha futura",IF(IFERROR(VLOOKUP(E24,LISTAS!$A$2:$C$65,3,FALSE),"")&lt;&gt;D24,"La subregión no corresponde al municipio",IF(IF(L24="",FALSE,OR(L24&lt;0,L24&gt;110)),"Edad fuera de rango",IF((V24="Sí")+(W24="Sí")+(X24="Sí")+(Y24="Sí")=0,"Marque al menos un tipo de violencia","OK")))))))</f>
        <v/>
      </c>
    </row>
    <row r="25">
      <c r="A25" s="12">
        <f>IF(OR(F25="",F25="Revisar",C25=""),"",F25&amp;"-"&amp;C25&amp;"-"&amp;TEXT(COUNTIFS($F$2:F25,F25,$C$2:C25,C25),"0000"))</f>
        <v/>
      </c>
      <c r="B25" s="13" t="n"/>
      <c r="C25" s="12">
        <f>IF(ISNUMBER(B25),YEAR(B25),"")</f>
        <v/>
      </c>
      <c r="D25" s="14" t="n"/>
      <c r="E25" s="14" t="n"/>
      <c r="F25" s="12">
        <f>IF(E25="","",IFERROR(VLOOKUP(E25,LISTAS!$A$2:$C$65,2,FALSE),"Revisar"))</f>
        <v/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2">
        <f>IF(COUNTA(B25:B25)+COUNTA(D25:E25)+COUNTA(G25:AJ25)=0,"",IF(COUNTBLANK(B25:B25)+COUNTBLANK(D25:E25)+COUNTBLANK(G25:G25)+COUNTBLANK(O25:AJ25)&gt;0,"Faltan "&amp;(COUNTBLANK(B25:B25)+COUNTBLANK(D25:E25)+COUNTBLANK(G25:G25)+COUNTBLANK(O25:AJ25))&amp;" datos obligatorios",IF(NOT(ISNUMBER(B25)),"Fecha no válida",IF(N(B25)&gt;TODAY(),"Fecha futura",IF(IFERROR(VLOOKUP(E25,LISTAS!$A$2:$C$65,3,FALSE),"")&lt;&gt;D25,"La subregión no corresponde al municipio",IF(IF(L25="",FALSE,OR(L25&lt;0,L25&gt;110)),"Edad fuera de rango",IF((V25="Sí")+(W25="Sí")+(X25="Sí")+(Y25="Sí")=0,"Marque al menos un tipo de violencia","OK")))))))</f>
        <v/>
      </c>
    </row>
    <row r="26">
      <c r="A26" s="12">
        <f>IF(OR(F26="",F26="Revisar",C26=""),"",F26&amp;"-"&amp;C26&amp;"-"&amp;TEXT(COUNTIFS($F$2:F26,F26,$C$2:C26,C26),"0000"))</f>
        <v/>
      </c>
      <c r="B26" s="13" t="n"/>
      <c r="C26" s="12">
        <f>IF(ISNUMBER(B26),YEAR(B26),"")</f>
        <v/>
      </c>
      <c r="D26" s="14" t="n"/>
      <c r="E26" s="14" t="n"/>
      <c r="F26" s="12">
        <f>IF(E26="","",IFERROR(VLOOKUP(E26,LISTAS!$A$2:$C$65,2,FALSE),"Revisar"))</f>
        <v/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2">
        <f>IF(COUNTA(B26:B26)+COUNTA(D26:E26)+COUNTA(G26:AJ26)=0,"",IF(COUNTBLANK(B26:B26)+COUNTBLANK(D26:E26)+COUNTBLANK(G26:G26)+COUNTBLANK(O26:AJ26)&gt;0,"Faltan "&amp;(COUNTBLANK(B26:B26)+COUNTBLANK(D26:E26)+COUNTBLANK(G26:G26)+COUNTBLANK(O26:AJ26))&amp;" datos obligatorios",IF(NOT(ISNUMBER(B26)),"Fecha no válida",IF(N(B26)&gt;TODAY(),"Fecha futura",IF(IFERROR(VLOOKUP(E26,LISTAS!$A$2:$C$65,3,FALSE),"")&lt;&gt;D26,"La subregión no corresponde al municipio",IF(IF(L26="",FALSE,OR(L26&lt;0,L26&gt;110)),"Edad fuera de rango",IF((V26="Sí")+(W26="Sí")+(X26="Sí")+(Y26="Sí")=0,"Marque al menos un tipo de violencia","OK")))))))</f>
        <v/>
      </c>
    </row>
    <row r="27">
      <c r="A27" s="12">
        <f>IF(OR(F27="",F27="Revisar",C27=""),"",F27&amp;"-"&amp;C27&amp;"-"&amp;TEXT(COUNTIFS($F$2:F27,F27,$C$2:C27,C27),"0000"))</f>
        <v/>
      </c>
      <c r="B27" s="13" t="n"/>
      <c r="C27" s="12">
        <f>IF(ISNUMBER(B27),YEAR(B27),"")</f>
        <v/>
      </c>
      <c r="D27" s="14" t="n"/>
      <c r="E27" s="14" t="n"/>
      <c r="F27" s="12">
        <f>IF(E27="","",IFERROR(VLOOKUP(E27,LISTAS!$A$2:$C$65,2,FALSE),"Revisar"))</f>
        <v/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2">
        <f>IF(COUNTA(B27:B27)+COUNTA(D27:E27)+COUNTA(G27:AJ27)=0,"",IF(COUNTBLANK(B27:B27)+COUNTBLANK(D27:E27)+COUNTBLANK(G27:G27)+COUNTBLANK(O27:AJ27)&gt;0,"Faltan "&amp;(COUNTBLANK(B27:B27)+COUNTBLANK(D27:E27)+COUNTBLANK(G27:G27)+COUNTBLANK(O27:AJ27))&amp;" datos obligatorios",IF(NOT(ISNUMBER(B27)),"Fecha no válida",IF(N(B27)&gt;TODAY(),"Fecha futura",IF(IFERROR(VLOOKUP(E27,LISTAS!$A$2:$C$65,3,FALSE),"")&lt;&gt;D27,"La subregión no corresponde al municipio",IF(IF(L27="",FALSE,OR(L27&lt;0,L27&gt;110)),"Edad fuera de rango",IF((V27="Sí")+(W27="Sí")+(X27="Sí")+(Y27="Sí")=0,"Marque al menos un tipo de violencia","OK")))))))</f>
        <v/>
      </c>
    </row>
    <row r="28">
      <c r="A28" s="12">
        <f>IF(OR(F28="",F28="Revisar",C28=""),"",F28&amp;"-"&amp;C28&amp;"-"&amp;TEXT(COUNTIFS($F$2:F28,F28,$C$2:C28,C28),"0000"))</f>
        <v/>
      </c>
      <c r="B28" s="13" t="n"/>
      <c r="C28" s="12">
        <f>IF(ISNUMBER(B28),YEAR(B28),"")</f>
        <v/>
      </c>
      <c r="D28" s="14" t="n"/>
      <c r="E28" s="14" t="n"/>
      <c r="F28" s="12">
        <f>IF(E28="","",IFERROR(VLOOKUP(E28,LISTAS!$A$2:$C$65,2,FALSE),"Revisar"))</f>
        <v/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2">
        <f>IF(COUNTA(B28:B28)+COUNTA(D28:E28)+COUNTA(G28:AJ28)=0,"",IF(COUNTBLANK(B28:B28)+COUNTBLANK(D28:E28)+COUNTBLANK(G28:G28)+COUNTBLANK(O28:AJ28)&gt;0,"Faltan "&amp;(COUNTBLANK(B28:B28)+COUNTBLANK(D28:E28)+COUNTBLANK(G28:G28)+COUNTBLANK(O28:AJ28))&amp;" datos obligatorios",IF(NOT(ISNUMBER(B28)),"Fecha no válida",IF(N(B28)&gt;TODAY(),"Fecha futura",IF(IFERROR(VLOOKUP(E28,LISTAS!$A$2:$C$65,3,FALSE),"")&lt;&gt;D28,"La subregión no corresponde al municipio",IF(IF(L28="",FALSE,OR(L28&lt;0,L28&gt;110)),"Edad fuera de rango",IF((V28="Sí")+(W28="Sí")+(X28="Sí")+(Y28="Sí")=0,"Marque al menos un tipo de violencia","OK")))))))</f>
        <v/>
      </c>
    </row>
    <row r="29">
      <c r="A29" s="12">
        <f>IF(OR(F29="",F29="Revisar",C29=""),"",F29&amp;"-"&amp;C29&amp;"-"&amp;TEXT(COUNTIFS($F$2:F29,F29,$C$2:C29,C29),"0000"))</f>
        <v/>
      </c>
      <c r="B29" s="13" t="n"/>
      <c r="C29" s="12">
        <f>IF(ISNUMBER(B29),YEAR(B29),"")</f>
        <v/>
      </c>
      <c r="D29" s="14" t="n"/>
      <c r="E29" s="14" t="n"/>
      <c r="F29" s="12">
        <f>IF(E29="","",IFERROR(VLOOKUP(E29,LISTAS!$A$2:$C$65,2,FALSE),"Revisar"))</f>
        <v/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2">
        <f>IF(COUNTA(B29:B29)+COUNTA(D29:E29)+COUNTA(G29:AJ29)=0,"",IF(COUNTBLANK(B29:B29)+COUNTBLANK(D29:E29)+COUNTBLANK(G29:G29)+COUNTBLANK(O29:AJ29)&gt;0,"Faltan "&amp;(COUNTBLANK(B29:B29)+COUNTBLANK(D29:E29)+COUNTBLANK(G29:G29)+COUNTBLANK(O29:AJ29))&amp;" datos obligatorios",IF(NOT(ISNUMBER(B29)),"Fecha no válida",IF(N(B29)&gt;TODAY(),"Fecha futura",IF(IFERROR(VLOOKUP(E29,LISTAS!$A$2:$C$65,3,FALSE),"")&lt;&gt;D29,"La subregión no corresponde al municipio",IF(IF(L29="",FALSE,OR(L29&lt;0,L29&gt;110)),"Edad fuera de rango",IF((V29="Sí")+(W29="Sí")+(X29="Sí")+(Y29="Sí")=0,"Marque al menos un tipo de violencia","OK")))))))</f>
        <v/>
      </c>
    </row>
    <row r="30">
      <c r="A30" s="12">
        <f>IF(OR(F30="",F30="Revisar",C30=""),"",F30&amp;"-"&amp;C30&amp;"-"&amp;TEXT(COUNTIFS($F$2:F30,F30,$C$2:C30,C30),"0000"))</f>
        <v/>
      </c>
      <c r="B30" s="13" t="n"/>
      <c r="C30" s="12">
        <f>IF(ISNUMBER(B30),YEAR(B30),"")</f>
        <v/>
      </c>
      <c r="D30" s="14" t="n"/>
      <c r="E30" s="14" t="n"/>
      <c r="F30" s="12">
        <f>IF(E30="","",IFERROR(VLOOKUP(E30,LISTAS!$A$2:$C$65,2,FALSE),"Revisar"))</f>
        <v/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2">
        <f>IF(COUNTA(B30:B30)+COUNTA(D30:E30)+COUNTA(G30:AJ30)=0,"",IF(COUNTBLANK(B30:B30)+COUNTBLANK(D30:E30)+COUNTBLANK(G30:G30)+COUNTBLANK(O30:AJ30)&gt;0,"Faltan "&amp;(COUNTBLANK(B30:B30)+COUNTBLANK(D30:E30)+COUNTBLANK(G30:G30)+COUNTBLANK(O30:AJ30))&amp;" datos obligatorios",IF(NOT(ISNUMBER(B30)),"Fecha no válida",IF(N(B30)&gt;TODAY(),"Fecha futura",IF(IFERROR(VLOOKUP(E30,LISTAS!$A$2:$C$65,3,FALSE),"")&lt;&gt;D30,"La subregión no corresponde al municipio",IF(IF(L30="",FALSE,OR(L30&lt;0,L30&gt;110)),"Edad fuera de rango",IF((V30="Sí")+(W30="Sí")+(X30="Sí")+(Y30="Sí")=0,"Marque al menos un tipo de violencia","OK")))))))</f>
        <v/>
      </c>
    </row>
    <row r="31">
      <c r="A31" s="12">
        <f>IF(OR(F31="",F31="Revisar",C31=""),"",F31&amp;"-"&amp;C31&amp;"-"&amp;TEXT(COUNTIFS($F$2:F31,F31,$C$2:C31,C31),"0000"))</f>
        <v/>
      </c>
      <c r="B31" s="13" t="n"/>
      <c r="C31" s="12">
        <f>IF(ISNUMBER(B31),YEAR(B31),"")</f>
        <v/>
      </c>
      <c r="D31" s="14" t="n"/>
      <c r="E31" s="14" t="n"/>
      <c r="F31" s="12">
        <f>IF(E31="","",IFERROR(VLOOKUP(E31,LISTAS!$A$2:$C$65,2,FALSE),"Revisar"))</f>
        <v/>
      </c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2">
        <f>IF(COUNTA(B31:B31)+COUNTA(D31:E31)+COUNTA(G31:AJ31)=0,"",IF(COUNTBLANK(B31:B31)+COUNTBLANK(D31:E31)+COUNTBLANK(G31:G31)+COUNTBLANK(O31:AJ31)&gt;0,"Faltan "&amp;(COUNTBLANK(B31:B31)+COUNTBLANK(D31:E31)+COUNTBLANK(G31:G31)+COUNTBLANK(O31:AJ31))&amp;" datos obligatorios",IF(NOT(ISNUMBER(B31)),"Fecha no válida",IF(N(B31)&gt;TODAY(),"Fecha futura",IF(IFERROR(VLOOKUP(E31,LISTAS!$A$2:$C$65,3,FALSE),"")&lt;&gt;D31,"La subregión no corresponde al municipio",IF(IF(L31="",FALSE,OR(L31&lt;0,L31&gt;110)),"Edad fuera de rango",IF((V31="Sí")+(W31="Sí")+(X31="Sí")+(Y31="Sí")=0,"Marque al menos un tipo de violencia","OK")))))))</f>
        <v/>
      </c>
    </row>
    <row r="32">
      <c r="A32" s="12">
        <f>IF(OR(F32="",F32="Revisar",C32=""),"",F32&amp;"-"&amp;C32&amp;"-"&amp;TEXT(COUNTIFS($F$2:F32,F32,$C$2:C32,C32),"0000"))</f>
        <v/>
      </c>
      <c r="B32" s="13" t="n"/>
      <c r="C32" s="12">
        <f>IF(ISNUMBER(B32),YEAR(B32),"")</f>
        <v/>
      </c>
      <c r="D32" s="14" t="n"/>
      <c r="E32" s="14" t="n"/>
      <c r="F32" s="12">
        <f>IF(E32="","",IFERROR(VLOOKUP(E32,LISTAS!$A$2:$C$65,2,FALSE),"Revisar"))</f>
        <v/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2">
        <f>IF(COUNTA(B32:B32)+COUNTA(D32:E32)+COUNTA(G32:AJ32)=0,"",IF(COUNTBLANK(B32:B32)+COUNTBLANK(D32:E32)+COUNTBLANK(G32:G32)+COUNTBLANK(O32:AJ32)&gt;0,"Faltan "&amp;(COUNTBLANK(B32:B32)+COUNTBLANK(D32:E32)+COUNTBLANK(G32:G32)+COUNTBLANK(O32:AJ32))&amp;" datos obligatorios",IF(NOT(ISNUMBER(B32)),"Fecha no válida",IF(N(B32)&gt;TODAY(),"Fecha futura",IF(IFERROR(VLOOKUP(E32,LISTAS!$A$2:$C$65,3,FALSE),"")&lt;&gt;D32,"La subregión no corresponde al municipio",IF(IF(L32="",FALSE,OR(L32&lt;0,L32&gt;110)),"Edad fuera de rango",IF((V32="Sí")+(W32="Sí")+(X32="Sí")+(Y32="Sí")=0,"Marque al menos un tipo de violencia","OK")))))))</f>
        <v/>
      </c>
    </row>
    <row r="33">
      <c r="A33" s="12">
        <f>IF(OR(F33="",F33="Revisar",C33=""),"",F33&amp;"-"&amp;C33&amp;"-"&amp;TEXT(COUNTIFS($F$2:F33,F33,$C$2:C33,C33),"0000"))</f>
        <v/>
      </c>
      <c r="B33" s="13" t="n"/>
      <c r="C33" s="12">
        <f>IF(ISNUMBER(B33),YEAR(B33),"")</f>
        <v/>
      </c>
      <c r="D33" s="14" t="n"/>
      <c r="E33" s="14" t="n"/>
      <c r="F33" s="12">
        <f>IF(E33="","",IFERROR(VLOOKUP(E33,LISTAS!$A$2:$C$65,2,FALSE),"Revisar"))</f>
        <v/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2">
        <f>IF(COUNTA(B33:B33)+COUNTA(D33:E33)+COUNTA(G33:AJ33)=0,"",IF(COUNTBLANK(B33:B33)+COUNTBLANK(D33:E33)+COUNTBLANK(G33:G33)+COUNTBLANK(O33:AJ33)&gt;0,"Faltan "&amp;(COUNTBLANK(B33:B33)+COUNTBLANK(D33:E33)+COUNTBLANK(G33:G33)+COUNTBLANK(O33:AJ33))&amp;" datos obligatorios",IF(NOT(ISNUMBER(B33)),"Fecha no válida",IF(N(B33)&gt;TODAY(),"Fecha futura",IF(IFERROR(VLOOKUP(E33,LISTAS!$A$2:$C$65,3,FALSE),"")&lt;&gt;D33,"La subregión no corresponde al municipio",IF(IF(L33="",FALSE,OR(L33&lt;0,L33&gt;110)),"Edad fuera de rango",IF((V33="Sí")+(W33="Sí")+(X33="Sí")+(Y33="Sí")=0,"Marque al menos un tipo de violencia","OK")))))))</f>
        <v/>
      </c>
    </row>
    <row r="34">
      <c r="A34" s="12">
        <f>IF(OR(F34="",F34="Revisar",C34=""),"",F34&amp;"-"&amp;C34&amp;"-"&amp;TEXT(COUNTIFS($F$2:F34,F34,$C$2:C34,C34),"0000"))</f>
        <v/>
      </c>
      <c r="B34" s="13" t="n"/>
      <c r="C34" s="12">
        <f>IF(ISNUMBER(B34),YEAR(B34),"")</f>
        <v/>
      </c>
      <c r="D34" s="14" t="n"/>
      <c r="E34" s="14" t="n"/>
      <c r="F34" s="12">
        <f>IF(E34="","",IFERROR(VLOOKUP(E34,LISTAS!$A$2:$C$65,2,FALSE),"Revisar"))</f>
        <v/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2">
        <f>IF(COUNTA(B34:B34)+COUNTA(D34:E34)+COUNTA(G34:AJ34)=0,"",IF(COUNTBLANK(B34:B34)+COUNTBLANK(D34:E34)+COUNTBLANK(G34:G34)+COUNTBLANK(O34:AJ34)&gt;0,"Faltan "&amp;(COUNTBLANK(B34:B34)+COUNTBLANK(D34:E34)+COUNTBLANK(G34:G34)+COUNTBLANK(O34:AJ34))&amp;" datos obligatorios",IF(NOT(ISNUMBER(B34)),"Fecha no válida",IF(N(B34)&gt;TODAY(),"Fecha futura",IF(IFERROR(VLOOKUP(E34,LISTAS!$A$2:$C$65,3,FALSE),"")&lt;&gt;D34,"La subregión no corresponde al municipio",IF(IF(L34="",FALSE,OR(L34&lt;0,L34&gt;110)),"Edad fuera de rango",IF((V34="Sí")+(W34="Sí")+(X34="Sí")+(Y34="Sí")=0,"Marque al menos un tipo de violencia","OK")))))))</f>
        <v/>
      </c>
    </row>
    <row r="35">
      <c r="A35" s="12">
        <f>IF(OR(F35="",F35="Revisar",C35=""),"",F35&amp;"-"&amp;C35&amp;"-"&amp;TEXT(COUNTIFS($F$2:F35,F35,$C$2:C35,C35),"0000"))</f>
        <v/>
      </c>
      <c r="B35" s="13" t="n"/>
      <c r="C35" s="12">
        <f>IF(ISNUMBER(B35),YEAR(B35),"")</f>
        <v/>
      </c>
      <c r="D35" s="14" t="n"/>
      <c r="E35" s="14" t="n"/>
      <c r="F35" s="12">
        <f>IF(E35="","",IFERROR(VLOOKUP(E35,LISTAS!$A$2:$C$65,2,FALSE),"Revisar"))</f>
        <v/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2">
        <f>IF(COUNTA(B35:B35)+COUNTA(D35:E35)+COUNTA(G35:AJ35)=0,"",IF(COUNTBLANK(B35:B35)+COUNTBLANK(D35:E35)+COUNTBLANK(G35:G35)+COUNTBLANK(O35:AJ35)&gt;0,"Faltan "&amp;(COUNTBLANK(B35:B35)+COUNTBLANK(D35:E35)+COUNTBLANK(G35:G35)+COUNTBLANK(O35:AJ35))&amp;" datos obligatorios",IF(NOT(ISNUMBER(B35)),"Fecha no válida",IF(N(B35)&gt;TODAY(),"Fecha futura",IF(IFERROR(VLOOKUP(E35,LISTAS!$A$2:$C$65,3,FALSE),"")&lt;&gt;D35,"La subregión no corresponde al municipio",IF(IF(L35="",FALSE,OR(L35&lt;0,L35&gt;110)),"Edad fuera de rango",IF((V35="Sí")+(W35="Sí")+(X35="Sí")+(Y35="Sí")=0,"Marque al menos un tipo de violencia","OK")))))))</f>
        <v/>
      </c>
    </row>
    <row r="36">
      <c r="A36" s="12">
        <f>IF(OR(F36="",F36="Revisar",C36=""),"",F36&amp;"-"&amp;C36&amp;"-"&amp;TEXT(COUNTIFS($F$2:F36,F36,$C$2:C36,C36),"0000"))</f>
        <v/>
      </c>
      <c r="B36" s="13" t="n"/>
      <c r="C36" s="12">
        <f>IF(ISNUMBER(B36),YEAR(B36),"")</f>
        <v/>
      </c>
      <c r="D36" s="14" t="n"/>
      <c r="E36" s="14" t="n"/>
      <c r="F36" s="12">
        <f>IF(E36="","",IFERROR(VLOOKUP(E36,LISTAS!$A$2:$C$65,2,FALSE),"Revisar"))</f>
        <v/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2">
        <f>IF(COUNTA(B36:B36)+COUNTA(D36:E36)+COUNTA(G36:AJ36)=0,"",IF(COUNTBLANK(B36:B36)+COUNTBLANK(D36:E36)+COUNTBLANK(G36:G36)+COUNTBLANK(O36:AJ36)&gt;0,"Faltan "&amp;(COUNTBLANK(B36:B36)+COUNTBLANK(D36:E36)+COUNTBLANK(G36:G36)+COUNTBLANK(O36:AJ36))&amp;" datos obligatorios",IF(NOT(ISNUMBER(B36)),"Fecha no válida",IF(N(B36)&gt;TODAY(),"Fecha futura",IF(IFERROR(VLOOKUP(E36,LISTAS!$A$2:$C$65,3,FALSE),"")&lt;&gt;D36,"La subregión no corresponde al municipio",IF(IF(L36="",FALSE,OR(L36&lt;0,L36&gt;110)),"Edad fuera de rango",IF((V36="Sí")+(W36="Sí")+(X36="Sí")+(Y36="Sí")=0,"Marque al menos un tipo de violencia","OK")))))))</f>
        <v/>
      </c>
    </row>
    <row r="37">
      <c r="A37" s="12">
        <f>IF(OR(F37="",F37="Revisar",C37=""),"",F37&amp;"-"&amp;C37&amp;"-"&amp;TEXT(COUNTIFS($F$2:F37,F37,$C$2:C37,C37),"0000"))</f>
        <v/>
      </c>
      <c r="B37" s="13" t="n"/>
      <c r="C37" s="12">
        <f>IF(ISNUMBER(B37),YEAR(B37),"")</f>
        <v/>
      </c>
      <c r="D37" s="14" t="n"/>
      <c r="E37" s="14" t="n"/>
      <c r="F37" s="12">
        <f>IF(E37="","",IFERROR(VLOOKUP(E37,LISTAS!$A$2:$C$65,2,FALSE),"Revisar"))</f>
        <v/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2">
        <f>IF(COUNTA(B37:B37)+COUNTA(D37:E37)+COUNTA(G37:AJ37)=0,"",IF(COUNTBLANK(B37:B37)+COUNTBLANK(D37:E37)+COUNTBLANK(G37:G37)+COUNTBLANK(O37:AJ37)&gt;0,"Faltan "&amp;(COUNTBLANK(B37:B37)+COUNTBLANK(D37:E37)+COUNTBLANK(G37:G37)+COUNTBLANK(O37:AJ37))&amp;" datos obligatorios",IF(NOT(ISNUMBER(B37)),"Fecha no válida",IF(N(B37)&gt;TODAY(),"Fecha futura",IF(IFERROR(VLOOKUP(E37,LISTAS!$A$2:$C$65,3,FALSE),"")&lt;&gt;D37,"La subregión no corresponde al municipio",IF(IF(L37="",FALSE,OR(L37&lt;0,L37&gt;110)),"Edad fuera de rango",IF((V37="Sí")+(W37="Sí")+(X37="Sí")+(Y37="Sí")=0,"Marque al menos un tipo de violencia","OK")))))))</f>
        <v/>
      </c>
    </row>
    <row r="38">
      <c r="A38" s="12">
        <f>IF(OR(F38="",F38="Revisar",C38=""),"",F38&amp;"-"&amp;C38&amp;"-"&amp;TEXT(COUNTIFS($F$2:F38,F38,$C$2:C38,C38),"0000"))</f>
        <v/>
      </c>
      <c r="B38" s="13" t="n"/>
      <c r="C38" s="12">
        <f>IF(ISNUMBER(B38),YEAR(B38),"")</f>
        <v/>
      </c>
      <c r="D38" s="14" t="n"/>
      <c r="E38" s="14" t="n"/>
      <c r="F38" s="12">
        <f>IF(E38="","",IFERROR(VLOOKUP(E38,LISTAS!$A$2:$C$65,2,FALSE),"Revisar"))</f>
        <v/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2">
        <f>IF(COUNTA(B38:B38)+COUNTA(D38:E38)+COUNTA(G38:AJ38)=0,"",IF(COUNTBLANK(B38:B38)+COUNTBLANK(D38:E38)+COUNTBLANK(G38:G38)+COUNTBLANK(O38:AJ38)&gt;0,"Faltan "&amp;(COUNTBLANK(B38:B38)+COUNTBLANK(D38:E38)+COUNTBLANK(G38:G38)+COUNTBLANK(O38:AJ38))&amp;" datos obligatorios",IF(NOT(ISNUMBER(B38)),"Fecha no válida",IF(N(B38)&gt;TODAY(),"Fecha futura",IF(IFERROR(VLOOKUP(E38,LISTAS!$A$2:$C$65,3,FALSE),"")&lt;&gt;D38,"La subregión no corresponde al municipio",IF(IF(L38="",FALSE,OR(L38&lt;0,L38&gt;110)),"Edad fuera de rango",IF((V38="Sí")+(W38="Sí")+(X38="Sí")+(Y38="Sí")=0,"Marque al menos un tipo de violencia","OK")))))))</f>
        <v/>
      </c>
    </row>
    <row r="39">
      <c r="A39" s="12">
        <f>IF(OR(F39="",F39="Revisar",C39=""),"",F39&amp;"-"&amp;C39&amp;"-"&amp;TEXT(COUNTIFS($F$2:F39,F39,$C$2:C39,C39),"0000"))</f>
        <v/>
      </c>
      <c r="B39" s="13" t="n"/>
      <c r="C39" s="12">
        <f>IF(ISNUMBER(B39),YEAR(B39),"")</f>
        <v/>
      </c>
      <c r="D39" s="14" t="n"/>
      <c r="E39" s="14" t="n"/>
      <c r="F39" s="12">
        <f>IF(E39="","",IFERROR(VLOOKUP(E39,LISTAS!$A$2:$C$65,2,FALSE),"Revisar"))</f>
        <v/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2">
        <f>IF(COUNTA(B39:B39)+COUNTA(D39:E39)+COUNTA(G39:AJ39)=0,"",IF(COUNTBLANK(B39:B39)+COUNTBLANK(D39:E39)+COUNTBLANK(G39:G39)+COUNTBLANK(O39:AJ39)&gt;0,"Faltan "&amp;(COUNTBLANK(B39:B39)+COUNTBLANK(D39:E39)+COUNTBLANK(G39:G39)+COUNTBLANK(O39:AJ39))&amp;" datos obligatorios",IF(NOT(ISNUMBER(B39)),"Fecha no válida",IF(N(B39)&gt;TODAY(),"Fecha futura",IF(IFERROR(VLOOKUP(E39,LISTAS!$A$2:$C$65,3,FALSE),"")&lt;&gt;D39,"La subregión no corresponde al municipio",IF(IF(L39="",FALSE,OR(L39&lt;0,L39&gt;110)),"Edad fuera de rango",IF((V39="Sí")+(W39="Sí")+(X39="Sí")+(Y39="Sí")=0,"Marque al menos un tipo de violencia","OK")))))))</f>
        <v/>
      </c>
    </row>
    <row r="40">
      <c r="A40" s="12">
        <f>IF(OR(F40="",F40="Revisar",C40=""),"",F40&amp;"-"&amp;C40&amp;"-"&amp;TEXT(COUNTIFS($F$2:F40,F40,$C$2:C40,C40),"0000"))</f>
        <v/>
      </c>
      <c r="B40" s="13" t="n"/>
      <c r="C40" s="12">
        <f>IF(ISNUMBER(B40),YEAR(B40),"")</f>
        <v/>
      </c>
      <c r="D40" s="14" t="n"/>
      <c r="E40" s="14" t="n"/>
      <c r="F40" s="12">
        <f>IF(E40="","",IFERROR(VLOOKUP(E40,LISTAS!$A$2:$C$65,2,FALSE),"Revisar"))</f>
        <v/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2">
        <f>IF(COUNTA(B40:B40)+COUNTA(D40:E40)+COUNTA(G40:AJ40)=0,"",IF(COUNTBLANK(B40:B40)+COUNTBLANK(D40:E40)+COUNTBLANK(G40:G40)+COUNTBLANK(O40:AJ40)&gt;0,"Faltan "&amp;(COUNTBLANK(B40:B40)+COUNTBLANK(D40:E40)+COUNTBLANK(G40:G40)+COUNTBLANK(O40:AJ40))&amp;" datos obligatorios",IF(NOT(ISNUMBER(B40)),"Fecha no válida",IF(N(B40)&gt;TODAY(),"Fecha futura",IF(IFERROR(VLOOKUP(E40,LISTAS!$A$2:$C$65,3,FALSE),"")&lt;&gt;D40,"La subregión no corresponde al municipio",IF(IF(L40="",FALSE,OR(L40&lt;0,L40&gt;110)),"Edad fuera de rango",IF((V40="Sí")+(W40="Sí")+(X40="Sí")+(Y40="Sí")=0,"Marque al menos un tipo de violencia","OK")))))))</f>
        <v/>
      </c>
    </row>
    <row r="41">
      <c r="A41" s="12">
        <f>IF(OR(F41="",F41="Revisar",C41=""),"",F41&amp;"-"&amp;C41&amp;"-"&amp;TEXT(COUNTIFS($F$2:F41,F41,$C$2:C41,C41),"0000"))</f>
        <v/>
      </c>
      <c r="B41" s="13" t="n"/>
      <c r="C41" s="12">
        <f>IF(ISNUMBER(B41),YEAR(B41),"")</f>
        <v/>
      </c>
      <c r="D41" s="14" t="n"/>
      <c r="E41" s="14" t="n"/>
      <c r="F41" s="12">
        <f>IF(E41="","",IFERROR(VLOOKUP(E41,LISTAS!$A$2:$C$65,2,FALSE),"Revisar"))</f>
        <v/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2">
        <f>IF(COUNTA(B41:B41)+COUNTA(D41:E41)+COUNTA(G41:AJ41)=0,"",IF(COUNTBLANK(B41:B41)+COUNTBLANK(D41:E41)+COUNTBLANK(G41:G41)+COUNTBLANK(O41:AJ41)&gt;0,"Faltan "&amp;(COUNTBLANK(B41:B41)+COUNTBLANK(D41:E41)+COUNTBLANK(G41:G41)+COUNTBLANK(O41:AJ41))&amp;" datos obligatorios",IF(NOT(ISNUMBER(B41)),"Fecha no válida",IF(N(B41)&gt;TODAY(),"Fecha futura",IF(IFERROR(VLOOKUP(E41,LISTAS!$A$2:$C$65,3,FALSE),"")&lt;&gt;D41,"La subregión no corresponde al municipio",IF(IF(L41="",FALSE,OR(L41&lt;0,L41&gt;110)),"Edad fuera de rango",IF((V41="Sí")+(W41="Sí")+(X41="Sí")+(Y41="Sí")=0,"Marque al menos un tipo de violencia","OK")))))))</f>
        <v/>
      </c>
    </row>
    <row r="42">
      <c r="A42" s="12">
        <f>IF(OR(F42="",F42="Revisar",C42=""),"",F42&amp;"-"&amp;C42&amp;"-"&amp;TEXT(COUNTIFS($F$2:F42,F42,$C$2:C42,C42),"0000"))</f>
        <v/>
      </c>
      <c r="B42" s="13" t="n"/>
      <c r="C42" s="12">
        <f>IF(ISNUMBER(B42),YEAR(B42),"")</f>
        <v/>
      </c>
      <c r="D42" s="14" t="n"/>
      <c r="E42" s="14" t="n"/>
      <c r="F42" s="12">
        <f>IF(E42="","",IFERROR(VLOOKUP(E42,LISTAS!$A$2:$C$65,2,FALSE),"Revisar"))</f>
        <v/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2">
        <f>IF(COUNTA(B42:B42)+COUNTA(D42:E42)+COUNTA(G42:AJ42)=0,"",IF(COUNTBLANK(B42:B42)+COUNTBLANK(D42:E42)+COUNTBLANK(G42:G42)+COUNTBLANK(O42:AJ42)&gt;0,"Faltan "&amp;(COUNTBLANK(B42:B42)+COUNTBLANK(D42:E42)+COUNTBLANK(G42:G42)+COUNTBLANK(O42:AJ42))&amp;" datos obligatorios",IF(NOT(ISNUMBER(B42)),"Fecha no válida",IF(N(B42)&gt;TODAY(),"Fecha futura",IF(IFERROR(VLOOKUP(E42,LISTAS!$A$2:$C$65,3,FALSE),"")&lt;&gt;D42,"La subregión no corresponde al municipio",IF(IF(L42="",FALSE,OR(L42&lt;0,L42&gt;110)),"Edad fuera de rango",IF((V42="Sí")+(W42="Sí")+(X42="Sí")+(Y42="Sí")=0,"Marque al menos un tipo de violencia","OK")))))))</f>
        <v/>
      </c>
    </row>
    <row r="43">
      <c r="A43" s="12">
        <f>IF(OR(F43="",F43="Revisar",C43=""),"",F43&amp;"-"&amp;C43&amp;"-"&amp;TEXT(COUNTIFS($F$2:F43,F43,$C$2:C43,C43),"0000"))</f>
        <v/>
      </c>
      <c r="B43" s="13" t="n"/>
      <c r="C43" s="12">
        <f>IF(ISNUMBER(B43),YEAR(B43),"")</f>
        <v/>
      </c>
      <c r="D43" s="14" t="n"/>
      <c r="E43" s="14" t="n"/>
      <c r="F43" s="12">
        <f>IF(E43="","",IFERROR(VLOOKUP(E43,LISTAS!$A$2:$C$65,2,FALSE),"Revisar"))</f>
        <v/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2">
        <f>IF(COUNTA(B43:B43)+COUNTA(D43:E43)+COUNTA(G43:AJ43)=0,"",IF(COUNTBLANK(B43:B43)+COUNTBLANK(D43:E43)+COUNTBLANK(G43:G43)+COUNTBLANK(O43:AJ43)&gt;0,"Faltan "&amp;(COUNTBLANK(B43:B43)+COUNTBLANK(D43:E43)+COUNTBLANK(G43:G43)+COUNTBLANK(O43:AJ43))&amp;" datos obligatorios",IF(NOT(ISNUMBER(B43)),"Fecha no válida",IF(N(B43)&gt;TODAY(),"Fecha futura",IF(IFERROR(VLOOKUP(E43,LISTAS!$A$2:$C$65,3,FALSE),"")&lt;&gt;D43,"La subregión no corresponde al municipio",IF(IF(L43="",FALSE,OR(L43&lt;0,L43&gt;110)),"Edad fuera de rango",IF((V43="Sí")+(W43="Sí")+(X43="Sí")+(Y43="Sí")=0,"Marque al menos un tipo de violencia","OK")))))))</f>
        <v/>
      </c>
    </row>
    <row r="44">
      <c r="A44" s="12">
        <f>IF(OR(F44="",F44="Revisar",C44=""),"",F44&amp;"-"&amp;C44&amp;"-"&amp;TEXT(COUNTIFS($F$2:F44,F44,$C$2:C44,C44),"0000"))</f>
        <v/>
      </c>
      <c r="B44" s="13" t="n"/>
      <c r="C44" s="12">
        <f>IF(ISNUMBER(B44),YEAR(B44),"")</f>
        <v/>
      </c>
      <c r="D44" s="14" t="n"/>
      <c r="E44" s="14" t="n"/>
      <c r="F44" s="12">
        <f>IF(E44="","",IFERROR(VLOOKUP(E44,LISTAS!$A$2:$C$65,2,FALSE),"Revisar"))</f>
        <v/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2">
        <f>IF(COUNTA(B44:B44)+COUNTA(D44:E44)+COUNTA(G44:AJ44)=0,"",IF(COUNTBLANK(B44:B44)+COUNTBLANK(D44:E44)+COUNTBLANK(G44:G44)+COUNTBLANK(O44:AJ44)&gt;0,"Faltan "&amp;(COUNTBLANK(B44:B44)+COUNTBLANK(D44:E44)+COUNTBLANK(G44:G44)+COUNTBLANK(O44:AJ44))&amp;" datos obligatorios",IF(NOT(ISNUMBER(B44)),"Fecha no válida",IF(N(B44)&gt;TODAY(),"Fecha futura",IF(IFERROR(VLOOKUP(E44,LISTAS!$A$2:$C$65,3,FALSE),"")&lt;&gt;D44,"La subregión no corresponde al municipio",IF(IF(L44="",FALSE,OR(L44&lt;0,L44&gt;110)),"Edad fuera de rango",IF((V44="Sí")+(W44="Sí")+(X44="Sí")+(Y44="Sí")=0,"Marque al menos un tipo de violencia","OK")))))))</f>
        <v/>
      </c>
    </row>
    <row r="45">
      <c r="A45" s="12">
        <f>IF(OR(F45="",F45="Revisar",C45=""),"",F45&amp;"-"&amp;C45&amp;"-"&amp;TEXT(COUNTIFS($F$2:F45,F45,$C$2:C45,C45),"0000"))</f>
        <v/>
      </c>
      <c r="B45" s="13" t="n"/>
      <c r="C45" s="12">
        <f>IF(ISNUMBER(B45),YEAR(B45),"")</f>
        <v/>
      </c>
      <c r="D45" s="14" t="n"/>
      <c r="E45" s="14" t="n"/>
      <c r="F45" s="12">
        <f>IF(E45="","",IFERROR(VLOOKUP(E45,LISTAS!$A$2:$C$65,2,FALSE),"Revisar"))</f>
        <v/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2">
        <f>IF(COUNTA(B45:B45)+COUNTA(D45:E45)+COUNTA(G45:AJ45)=0,"",IF(COUNTBLANK(B45:B45)+COUNTBLANK(D45:E45)+COUNTBLANK(G45:G45)+COUNTBLANK(O45:AJ45)&gt;0,"Faltan "&amp;(COUNTBLANK(B45:B45)+COUNTBLANK(D45:E45)+COUNTBLANK(G45:G45)+COUNTBLANK(O45:AJ45))&amp;" datos obligatorios",IF(NOT(ISNUMBER(B45)),"Fecha no válida",IF(N(B45)&gt;TODAY(),"Fecha futura",IF(IFERROR(VLOOKUP(E45,LISTAS!$A$2:$C$65,3,FALSE),"")&lt;&gt;D45,"La subregión no corresponde al municipio",IF(IF(L45="",FALSE,OR(L45&lt;0,L45&gt;110)),"Edad fuera de rango",IF((V45="Sí")+(W45="Sí")+(X45="Sí")+(Y45="Sí")=0,"Marque al menos un tipo de violencia","OK")))))))</f>
        <v/>
      </c>
    </row>
    <row r="46">
      <c r="A46" s="12">
        <f>IF(OR(F46="",F46="Revisar",C46=""),"",F46&amp;"-"&amp;C46&amp;"-"&amp;TEXT(COUNTIFS($F$2:F46,F46,$C$2:C46,C46),"0000"))</f>
        <v/>
      </c>
      <c r="B46" s="13" t="n"/>
      <c r="C46" s="12">
        <f>IF(ISNUMBER(B46),YEAR(B46),"")</f>
        <v/>
      </c>
      <c r="D46" s="14" t="n"/>
      <c r="E46" s="14" t="n"/>
      <c r="F46" s="12">
        <f>IF(E46="","",IFERROR(VLOOKUP(E46,LISTAS!$A$2:$C$65,2,FALSE),"Revisar"))</f>
        <v/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2">
        <f>IF(COUNTA(B46:B46)+COUNTA(D46:E46)+COUNTA(G46:AJ46)=0,"",IF(COUNTBLANK(B46:B46)+COUNTBLANK(D46:E46)+COUNTBLANK(G46:G46)+COUNTBLANK(O46:AJ46)&gt;0,"Faltan "&amp;(COUNTBLANK(B46:B46)+COUNTBLANK(D46:E46)+COUNTBLANK(G46:G46)+COUNTBLANK(O46:AJ46))&amp;" datos obligatorios",IF(NOT(ISNUMBER(B46)),"Fecha no válida",IF(N(B46)&gt;TODAY(),"Fecha futura",IF(IFERROR(VLOOKUP(E46,LISTAS!$A$2:$C$65,3,FALSE),"")&lt;&gt;D46,"La subregión no corresponde al municipio",IF(IF(L46="",FALSE,OR(L46&lt;0,L46&gt;110)),"Edad fuera de rango",IF((V46="Sí")+(W46="Sí")+(X46="Sí")+(Y46="Sí")=0,"Marque al menos un tipo de violencia","OK")))))))</f>
        <v/>
      </c>
    </row>
    <row r="47">
      <c r="A47" s="12">
        <f>IF(OR(F47="",F47="Revisar",C47=""),"",F47&amp;"-"&amp;C47&amp;"-"&amp;TEXT(COUNTIFS($F$2:F47,F47,$C$2:C47,C47),"0000"))</f>
        <v/>
      </c>
      <c r="B47" s="13" t="n"/>
      <c r="C47" s="12">
        <f>IF(ISNUMBER(B47),YEAR(B47),"")</f>
        <v/>
      </c>
      <c r="D47" s="14" t="n"/>
      <c r="E47" s="14" t="n"/>
      <c r="F47" s="12">
        <f>IF(E47="","",IFERROR(VLOOKUP(E47,LISTAS!$A$2:$C$65,2,FALSE),"Revisar"))</f>
        <v/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2">
        <f>IF(COUNTA(B47:B47)+COUNTA(D47:E47)+COUNTA(G47:AJ47)=0,"",IF(COUNTBLANK(B47:B47)+COUNTBLANK(D47:E47)+COUNTBLANK(G47:G47)+COUNTBLANK(O47:AJ47)&gt;0,"Faltan "&amp;(COUNTBLANK(B47:B47)+COUNTBLANK(D47:E47)+COUNTBLANK(G47:G47)+COUNTBLANK(O47:AJ47))&amp;" datos obligatorios",IF(NOT(ISNUMBER(B47)),"Fecha no válida",IF(N(B47)&gt;TODAY(),"Fecha futura",IF(IFERROR(VLOOKUP(E47,LISTAS!$A$2:$C$65,3,FALSE),"")&lt;&gt;D47,"La subregión no corresponde al municipio",IF(IF(L47="",FALSE,OR(L47&lt;0,L47&gt;110)),"Edad fuera de rango",IF((V47="Sí")+(W47="Sí")+(X47="Sí")+(Y47="Sí")=0,"Marque al menos un tipo de violencia","OK")))))))</f>
        <v/>
      </c>
    </row>
    <row r="48">
      <c r="A48" s="12">
        <f>IF(OR(F48="",F48="Revisar",C48=""),"",F48&amp;"-"&amp;C48&amp;"-"&amp;TEXT(COUNTIFS($F$2:F48,F48,$C$2:C48,C48),"0000"))</f>
        <v/>
      </c>
      <c r="B48" s="13" t="n"/>
      <c r="C48" s="12">
        <f>IF(ISNUMBER(B48),YEAR(B48),"")</f>
        <v/>
      </c>
      <c r="D48" s="14" t="n"/>
      <c r="E48" s="14" t="n"/>
      <c r="F48" s="12">
        <f>IF(E48="","",IFERROR(VLOOKUP(E48,LISTAS!$A$2:$C$65,2,FALSE),"Revisar"))</f>
        <v/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2">
        <f>IF(COUNTA(B48:B48)+COUNTA(D48:E48)+COUNTA(G48:AJ48)=0,"",IF(COUNTBLANK(B48:B48)+COUNTBLANK(D48:E48)+COUNTBLANK(G48:G48)+COUNTBLANK(O48:AJ48)&gt;0,"Faltan "&amp;(COUNTBLANK(B48:B48)+COUNTBLANK(D48:E48)+COUNTBLANK(G48:G48)+COUNTBLANK(O48:AJ48))&amp;" datos obligatorios",IF(NOT(ISNUMBER(B48)),"Fecha no válida",IF(N(B48)&gt;TODAY(),"Fecha futura",IF(IFERROR(VLOOKUP(E48,LISTAS!$A$2:$C$65,3,FALSE),"")&lt;&gt;D48,"La subregión no corresponde al municipio",IF(IF(L48="",FALSE,OR(L48&lt;0,L48&gt;110)),"Edad fuera de rango",IF((V48="Sí")+(W48="Sí")+(X48="Sí")+(Y48="Sí")=0,"Marque al menos un tipo de violencia","OK")))))))</f>
        <v/>
      </c>
    </row>
    <row r="49">
      <c r="A49" s="12">
        <f>IF(OR(F49="",F49="Revisar",C49=""),"",F49&amp;"-"&amp;C49&amp;"-"&amp;TEXT(COUNTIFS($F$2:F49,F49,$C$2:C49,C49),"0000"))</f>
        <v/>
      </c>
      <c r="B49" s="13" t="n"/>
      <c r="C49" s="12">
        <f>IF(ISNUMBER(B49),YEAR(B49),"")</f>
        <v/>
      </c>
      <c r="D49" s="14" t="n"/>
      <c r="E49" s="14" t="n"/>
      <c r="F49" s="12">
        <f>IF(E49="","",IFERROR(VLOOKUP(E49,LISTAS!$A$2:$C$65,2,FALSE),"Revisar"))</f>
        <v/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2">
        <f>IF(COUNTA(B49:B49)+COUNTA(D49:E49)+COUNTA(G49:AJ49)=0,"",IF(COUNTBLANK(B49:B49)+COUNTBLANK(D49:E49)+COUNTBLANK(G49:G49)+COUNTBLANK(O49:AJ49)&gt;0,"Faltan "&amp;(COUNTBLANK(B49:B49)+COUNTBLANK(D49:E49)+COUNTBLANK(G49:G49)+COUNTBLANK(O49:AJ49))&amp;" datos obligatorios",IF(NOT(ISNUMBER(B49)),"Fecha no válida",IF(N(B49)&gt;TODAY(),"Fecha futura",IF(IFERROR(VLOOKUP(E49,LISTAS!$A$2:$C$65,3,FALSE),"")&lt;&gt;D49,"La subregión no corresponde al municipio",IF(IF(L49="",FALSE,OR(L49&lt;0,L49&gt;110)),"Edad fuera de rango",IF((V49="Sí")+(W49="Sí")+(X49="Sí")+(Y49="Sí")=0,"Marque al menos un tipo de violencia","OK")))))))</f>
        <v/>
      </c>
    </row>
    <row r="50">
      <c r="A50" s="12">
        <f>IF(OR(F50="",F50="Revisar",C50=""),"",F50&amp;"-"&amp;C50&amp;"-"&amp;TEXT(COUNTIFS($F$2:F50,F50,$C$2:C50,C50),"0000"))</f>
        <v/>
      </c>
      <c r="B50" s="13" t="n"/>
      <c r="C50" s="12">
        <f>IF(ISNUMBER(B50),YEAR(B50),"")</f>
        <v/>
      </c>
      <c r="D50" s="14" t="n"/>
      <c r="E50" s="14" t="n"/>
      <c r="F50" s="12">
        <f>IF(E50="","",IFERROR(VLOOKUP(E50,LISTAS!$A$2:$C$65,2,FALSE),"Revisar"))</f>
        <v/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2">
        <f>IF(COUNTA(B50:B50)+COUNTA(D50:E50)+COUNTA(G50:AJ50)=0,"",IF(COUNTBLANK(B50:B50)+COUNTBLANK(D50:E50)+COUNTBLANK(G50:G50)+COUNTBLANK(O50:AJ50)&gt;0,"Faltan "&amp;(COUNTBLANK(B50:B50)+COUNTBLANK(D50:E50)+COUNTBLANK(G50:G50)+COUNTBLANK(O50:AJ50))&amp;" datos obligatorios",IF(NOT(ISNUMBER(B50)),"Fecha no válida",IF(N(B50)&gt;TODAY(),"Fecha futura",IF(IFERROR(VLOOKUP(E50,LISTAS!$A$2:$C$65,3,FALSE),"")&lt;&gt;D50,"La subregión no corresponde al municipio",IF(IF(L50="",FALSE,OR(L50&lt;0,L50&gt;110)),"Edad fuera de rango",IF((V50="Sí")+(W50="Sí")+(X50="Sí")+(Y50="Sí")=0,"Marque al menos un tipo de violencia","OK")))))))</f>
        <v/>
      </c>
    </row>
    <row r="51">
      <c r="A51" s="12">
        <f>IF(OR(F51="",F51="Revisar",C51=""),"",F51&amp;"-"&amp;C51&amp;"-"&amp;TEXT(COUNTIFS($F$2:F51,F51,$C$2:C51,C51),"0000"))</f>
        <v/>
      </c>
      <c r="B51" s="13" t="n"/>
      <c r="C51" s="12">
        <f>IF(ISNUMBER(B51),YEAR(B51),"")</f>
        <v/>
      </c>
      <c r="D51" s="14" t="n"/>
      <c r="E51" s="14" t="n"/>
      <c r="F51" s="12">
        <f>IF(E51="","",IFERROR(VLOOKUP(E51,LISTAS!$A$2:$C$65,2,FALSE),"Revisar"))</f>
        <v/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2">
        <f>IF(COUNTA(B51:B51)+COUNTA(D51:E51)+COUNTA(G51:AJ51)=0,"",IF(COUNTBLANK(B51:B51)+COUNTBLANK(D51:E51)+COUNTBLANK(G51:G51)+COUNTBLANK(O51:AJ51)&gt;0,"Faltan "&amp;(COUNTBLANK(B51:B51)+COUNTBLANK(D51:E51)+COUNTBLANK(G51:G51)+COUNTBLANK(O51:AJ51))&amp;" datos obligatorios",IF(NOT(ISNUMBER(B51)),"Fecha no válida",IF(N(B51)&gt;TODAY(),"Fecha futura",IF(IFERROR(VLOOKUP(E51,LISTAS!$A$2:$C$65,3,FALSE),"")&lt;&gt;D51,"La subregión no corresponde al municipio",IF(IF(L51="",FALSE,OR(L51&lt;0,L51&gt;110)),"Edad fuera de rango",IF((V51="Sí")+(W51="Sí")+(X51="Sí")+(Y51="Sí")=0,"Marque al menos un tipo de violencia","OK")))))))</f>
        <v/>
      </c>
    </row>
    <row r="52">
      <c r="A52" s="12">
        <f>IF(OR(F52="",F52="Revisar",C52=""),"",F52&amp;"-"&amp;C52&amp;"-"&amp;TEXT(COUNTIFS($F$2:F52,F52,$C$2:C52,C52),"0000"))</f>
        <v/>
      </c>
      <c r="B52" s="13" t="n"/>
      <c r="C52" s="12">
        <f>IF(ISNUMBER(B52),YEAR(B52),"")</f>
        <v/>
      </c>
      <c r="D52" s="14" t="n"/>
      <c r="E52" s="14" t="n"/>
      <c r="F52" s="12">
        <f>IF(E52="","",IFERROR(VLOOKUP(E52,LISTAS!$A$2:$C$65,2,FALSE),"Revisar"))</f>
        <v/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2">
        <f>IF(COUNTA(B52:B52)+COUNTA(D52:E52)+COUNTA(G52:AJ52)=0,"",IF(COUNTBLANK(B52:B52)+COUNTBLANK(D52:E52)+COUNTBLANK(G52:G52)+COUNTBLANK(O52:AJ52)&gt;0,"Faltan "&amp;(COUNTBLANK(B52:B52)+COUNTBLANK(D52:E52)+COUNTBLANK(G52:G52)+COUNTBLANK(O52:AJ52))&amp;" datos obligatorios",IF(NOT(ISNUMBER(B52)),"Fecha no válida",IF(N(B52)&gt;TODAY(),"Fecha futura",IF(IFERROR(VLOOKUP(E52,LISTAS!$A$2:$C$65,3,FALSE),"")&lt;&gt;D52,"La subregión no corresponde al municipio",IF(IF(L52="",FALSE,OR(L52&lt;0,L52&gt;110)),"Edad fuera de rango",IF((V52="Sí")+(W52="Sí")+(X52="Sí")+(Y52="Sí")=0,"Marque al menos un tipo de violencia","OK")))))))</f>
        <v/>
      </c>
    </row>
    <row r="53">
      <c r="A53" s="12">
        <f>IF(OR(F53="",F53="Revisar",C53=""),"",F53&amp;"-"&amp;C53&amp;"-"&amp;TEXT(COUNTIFS($F$2:F53,F53,$C$2:C53,C53),"0000"))</f>
        <v/>
      </c>
      <c r="B53" s="13" t="n"/>
      <c r="C53" s="12">
        <f>IF(ISNUMBER(B53),YEAR(B53),"")</f>
        <v/>
      </c>
      <c r="D53" s="14" t="n"/>
      <c r="E53" s="14" t="n"/>
      <c r="F53" s="12">
        <f>IF(E53="","",IFERROR(VLOOKUP(E53,LISTAS!$A$2:$C$65,2,FALSE),"Revisar"))</f>
        <v/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2">
        <f>IF(COUNTA(B53:B53)+COUNTA(D53:E53)+COUNTA(G53:AJ53)=0,"",IF(COUNTBLANK(B53:B53)+COUNTBLANK(D53:E53)+COUNTBLANK(G53:G53)+COUNTBLANK(O53:AJ53)&gt;0,"Faltan "&amp;(COUNTBLANK(B53:B53)+COUNTBLANK(D53:E53)+COUNTBLANK(G53:G53)+COUNTBLANK(O53:AJ53))&amp;" datos obligatorios",IF(NOT(ISNUMBER(B53)),"Fecha no válida",IF(N(B53)&gt;TODAY(),"Fecha futura",IF(IFERROR(VLOOKUP(E53,LISTAS!$A$2:$C$65,3,FALSE),"")&lt;&gt;D53,"La subregión no corresponde al municipio",IF(IF(L53="",FALSE,OR(L53&lt;0,L53&gt;110)),"Edad fuera de rango",IF((V53="Sí")+(W53="Sí")+(X53="Sí")+(Y53="Sí")=0,"Marque al menos un tipo de violencia","OK")))))))</f>
        <v/>
      </c>
    </row>
    <row r="54">
      <c r="A54" s="12">
        <f>IF(OR(F54="",F54="Revisar",C54=""),"",F54&amp;"-"&amp;C54&amp;"-"&amp;TEXT(COUNTIFS($F$2:F54,F54,$C$2:C54,C54),"0000"))</f>
        <v/>
      </c>
      <c r="B54" s="13" t="n"/>
      <c r="C54" s="12">
        <f>IF(ISNUMBER(B54),YEAR(B54),"")</f>
        <v/>
      </c>
      <c r="D54" s="14" t="n"/>
      <c r="E54" s="14" t="n"/>
      <c r="F54" s="12">
        <f>IF(E54="","",IFERROR(VLOOKUP(E54,LISTAS!$A$2:$C$65,2,FALSE),"Revisar"))</f>
        <v/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2">
        <f>IF(COUNTA(B54:B54)+COUNTA(D54:E54)+COUNTA(G54:AJ54)=0,"",IF(COUNTBLANK(B54:B54)+COUNTBLANK(D54:E54)+COUNTBLANK(G54:G54)+COUNTBLANK(O54:AJ54)&gt;0,"Faltan "&amp;(COUNTBLANK(B54:B54)+COUNTBLANK(D54:E54)+COUNTBLANK(G54:G54)+COUNTBLANK(O54:AJ54))&amp;" datos obligatorios",IF(NOT(ISNUMBER(B54)),"Fecha no válida",IF(N(B54)&gt;TODAY(),"Fecha futura",IF(IFERROR(VLOOKUP(E54,LISTAS!$A$2:$C$65,3,FALSE),"")&lt;&gt;D54,"La subregión no corresponde al municipio",IF(IF(L54="",FALSE,OR(L54&lt;0,L54&gt;110)),"Edad fuera de rango",IF((V54="Sí")+(W54="Sí")+(X54="Sí")+(Y54="Sí")=0,"Marque al menos un tipo de violencia","OK")))))))</f>
        <v/>
      </c>
    </row>
    <row r="55">
      <c r="A55" s="12">
        <f>IF(OR(F55="",F55="Revisar",C55=""),"",F55&amp;"-"&amp;C55&amp;"-"&amp;TEXT(COUNTIFS($F$2:F55,F55,$C$2:C55,C55),"0000"))</f>
        <v/>
      </c>
      <c r="B55" s="13" t="n"/>
      <c r="C55" s="12">
        <f>IF(ISNUMBER(B55),YEAR(B55),"")</f>
        <v/>
      </c>
      <c r="D55" s="14" t="n"/>
      <c r="E55" s="14" t="n"/>
      <c r="F55" s="12">
        <f>IF(E55="","",IFERROR(VLOOKUP(E55,LISTAS!$A$2:$C$65,2,FALSE),"Revisar"))</f>
        <v/>
      </c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2">
        <f>IF(COUNTA(B55:B55)+COUNTA(D55:E55)+COUNTA(G55:AJ55)=0,"",IF(COUNTBLANK(B55:B55)+COUNTBLANK(D55:E55)+COUNTBLANK(G55:G55)+COUNTBLANK(O55:AJ55)&gt;0,"Faltan "&amp;(COUNTBLANK(B55:B55)+COUNTBLANK(D55:E55)+COUNTBLANK(G55:G55)+COUNTBLANK(O55:AJ55))&amp;" datos obligatorios",IF(NOT(ISNUMBER(B55)),"Fecha no válida",IF(N(B55)&gt;TODAY(),"Fecha futura",IF(IFERROR(VLOOKUP(E55,LISTAS!$A$2:$C$65,3,FALSE),"")&lt;&gt;D55,"La subregión no corresponde al municipio",IF(IF(L55="",FALSE,OR(L55&lt;0,L55&gt;110)),"Edad fuera de rango",IF((V55="Sí")+(W55="Sí")+(X55="Sí")+(Y55="Sí")=0,"Marque al menos un tipo de violencia","OK")))))))</f>
        <v/>
      </c>
    </row>
    <row r="56">
      <c r="A56" s="12">
        <f>IF(OR(F56="",F56="Revisar",C56=""),"",F56&amp;"-"&amp;C56&amp;"-"&amp;TEXT(COUNTIFS($F$2:F56,F56,$C$2:C56,C56),"0000"))</f>
        <v/>
      </c>
      <c r="B56" s="13" t="n"/>
      <c r="C56" s="12">
        <f>IF(ISNUMBER(B56),YEAR(B56),"")</f>
        <v/>
      </c>
      <c r="D56" s="14" t="n"/>
      <c r="E56" s="14" t="n"/>
      <c r="F56" s="12">
        <f>IF(E56="","",IFERROR(VLOOKUP(E56,LISTAS!$A$2:$C$65,2,FALSE),"Revisar"))</f>
        <v/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2">
        <f>IF(COUNTA(B56:B56)+COUNTA(D56:E56)+COUNTA(G56:AJ56)=0,"",IF(COUNTBLANK(B56:B56)+COUNTBLANK(D56:E56)+COUNTBLANK(G56:G56)+COUNTBLANK(O56:AJ56)&gt;0,"Faltan "&amp;(COUNTBLANK(B56:B56)+COUNTBLANK(D56:E56)+COUNTBLANK(G56:G56)+COUNTBLANK(O56:AJ56))&amp;" datos obligatorios",IF(NOT(ISNUMBER(B56)),"Fecha no válida",IF(N(B56)&gt;TODAY(),"Fecha futura",IF(IFERROR(VLOOKUP(E56,LISTAS!$A$2:$C$65,3,FALSE),"")&lt;&gt;D56,"La subregión no corresponde al municipio",IF(IF(L56="",FALSE,OR(L56&lt;0,L56&gt;110)),"Edad fuera de rango",IF((V56="Sí")+(W56="Sí")+(X56="Sí")+(Y56="Sí")=0,"Marque al menos un tipo de violencia","OK")))))))</f>
        <v/>
      </c>
    </row>
    <row r="57">
      <c r="A57" s="12">
        <f>IF(OR(F57="",F57="Revisar",C57=""),"",F57&amp;"-"&amp;C57&amp;"-"&amp;TEXT(COUNTIFS($F$2:F57,F57,$C$2:C57,C57),"0000"))</f>
        <v/>
      </c>
      <c r="B57" s="13" t="n"/>
      <c r="C57" s="12">
        <f>IF(ISNUMBER(B57),YEAR(B57),"")</f>
        <v/>
      </c>
      <c r="D57" s="14" t="n"/>
      <c r="E57" s="14" t="n"/>
      <c r="F57" s="12">
        <f>IF(E57="","",IFERROR(VLOOKUP(E57,LISTAS!$A$2:$C$65,2,FALSE),"Revisar"))</f>
        <v/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2">
        <f>IF(COUNTA(B57:B57)+COUNTA(D57:E57)+COUNTA(G57:AJ57)=0,"",IF(COUNTBLANK(B57:B57)+COUNTBLANK(D57:E57)+COUNTBLANK(G57:G57)+COUNTBLANK(O57:AJ57)&gt;0,"Faltan "&amp;(COUNTBLANK(B57:B57)+COUNTBLANK(D57:E57)+COUNTBLANK(G57:G57)+COUNTBLANK(O57:AJ57))&amp;" datos obligatorios",IF(NOT(ISNUMBER(B57)),"Fecha no válida",IF(N(B57)&gt;TODAY(),"Fecha futura",IF(IFERROR(VLOOKUP(E57,LISTAS!$A$2:$C$65,3,FALSE),"")&lt;&gt;D57,"La subregión no corresponde al municipio",IF(IF(L57="",FALSE,OR(L57&lt;0,L57&gt;110)),"Edad fuera de rango",IF((V57="Sí")+(W57="Sí")+(X57="Sí")+(Y57="Sí")=0,"Marque al menos un tipo de violencia","OK")))))))</f>
        <v/>
      </c>
    </row>
    <row r="58">
      <c r="A58" s="12">
        <f>IF(OR(F58="",F58="Revisar",C58=""),"",F58&amp;"-"&amp;C58&amp;"-"&amp;TEXT(COUNTIFS($F$2:F58,F58,$C$2:C58,C58),"0000"))</f>
        <v/>
      </c>
      <c r="B58" s="13" t="n"/>
      <c r="C58" s="12">
        <f>IF(ISNUMBER(B58),YEAR(B58),"")</f>
        <v/>
      </c>
      <c r="D58" s="14" t="n"/>
      <c r="E58" s="14" t="n"/>
      <c r="F58" s="12">
        <f>IF(E58="","",IFERROR(VLOOKUP(E58,LISTAS!$A$2:$C$65,2,FALSE),"Revisar"))</f>
        <v/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2">
        <f>IF(COUNTA(B58:B58)+COUNTA(D58:E58)+COUNTA(G58:AJ58)=0,"",IF(COUNTBLANK(B58:B58)+COUNTBLANK(D58:E58)+COUNTBLANK(G58:G58)+COUNTBLANK(O58:AJ58)&gt;0,"Faltan "&amp;(COUNTBLANK(B58:B58)+COUNTBLANK(D58:E58)+COUNTBLANK(G58:G58)+COUNTBLANK(O58:AJ58))&amp;" datos obligatorios",IF(NOT(ISNUMBER(B58)),"Fecha no válida",IF(N(B58)&gt;TODAY(),"Fecha futura",IF(IFERROR(VLOOKUP(E58,LISTAS!$A$2:$C$65,3,FALSE),"")&lt;&gt;D58,"La subregión no corresponde al municipio",IF(IF(L58="",FALSE,OR(L58&lt;0,L58&gt;110)),"Edad fuera de rango",IF((V58="Sí")+(W58="Sí")+(X58="Sí")+(Y58="Sí")=0,"Marque al menos un tipo de violencia","OK")))))))</f>
        <v/>
      </c>
    </row>
    <row r="59">
      <c r="A59" s="12">
        <f>IF(OR(F59="",F59="Revisar",C59=""),"",F59&amp;"-"&amp;C59&amp;"-"&amp;TEXT(COUNTIFS($F$2:F59,F59,$C$2:C59,C59),"0000"))</f>
        <v/>
      </c>
      <c r="B59" s="13" t="n"/>
      <c r="C59" s="12">
        <f>IF(ISNUMBER(B59),YEAR(B59),"")</f>
        <v/>
      </c>
      <c r="D59" s="14" t="n"/>
      <c r="E59" s="14" t="n"/>
      <c r="F59" s="12">
        <f>IF(E59="","",IFERROR(VLOOKUP(E59,LISTAS!$A$2:$C$65,2,FALSE),"Revisar"))</f>
        <v/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2">
        <f>IF(COUNTA(B59:B59)+COUNTA(D59:E59)+COUNTA(G59:AJ59)=0,"",IF(COUNTBLANK(B59:B59)+COUNTBLANK(D59:E59)+COUNTBLANK(G59:G59)+COUNTBLANK(O59:AJ59)&gt;0,"Faltan "&amp;(COUNTBLANK(B59:B59)+COUNTBLANK(D59:E59)+COUNTBLANK(G59:G59)+COUNTBLANK(O59:AJ59))&amp;" datos obligatorios",IF(NOT(ISNUMBER(B59)),"Fecha no válida",IF(N(B59)&gt;TODAY(),"Fecha futura",IF(IFERROR(VLOOKUP(E59,LISTAS!$A$2:$C$65,3,FALSE),"")&lt;&gt;D59,"La subregión no corresponde al municipio",IF(IF(L59="",FALSE,OR(L59&lt;0,L59&gt;110)),"Edad fuera de rango",IF((V59="Sí")+(W59="Sí")+(X59="Sí")+(Y59="Sí")=0,"Marque al menos un tipo de violencia","OK")))))))</f>
        <v/>
      </c>
    </row>
    <row r="60">
      <c r="A60" s="12">
        <f>IF(OR(F60="",F60="Revisar",C60=""),"",F60&amp;"-"&amp;C60&amp;"-"&amp;TEXT(COUNTIFS($F$2:F60,F60,$C$2:C60,C60),"0000"))</f>
        <v/>
      </c>
      <c r="B60" s="13" t="n"/>
      <c r="C60" s="12">
        <f>IF(ISNUMBER(B60),YEAR(B60),"")</f>
        <v/>
      </c>
      <c r="D60" s="14" t="n"/>
      <c r="E60" s="14" t="n"/>
      <c r="F60" s="12">
        <f>IF(E60="","",IFERROR(VLOOKUP(E60,LISTAS!$A$2:$C$65,2,FALSE),"Revisar"))</f>
        <v/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2">
        <f>IF(COUNTA(B60:B60)+COUNTA(D60:E60)+COUNTA(G60:AJ60)=0,"",IF(COUNTBLANK(B60:B60)+COUNTBLANK(D60:E60)+COUNTBLANK(G60:G60)+COUNTBLANK(O60:AJ60)&gt;0,"Faltan "&amp;(COUNTBLANK(B60:B60)+COUNTBLANK(D60:E60)+COUNTBLANK(G60:G60)+COUNTBLANK(O60:AJ60))&amp;" datos obligatorios",IF(NOT(ISNUMBER(B60)),"Fecha no válida",IF(N(B60)&gt;TODAY(),"Fecha futura",IF(IFERROR(VLOOKUP(E60,LISTAS!$A$2:$C$65,3,FALSE),"")&lt;&gt;D60,"La subregión no corresponde al municipio",IF(IF(L60="",FALSE,OR(L60&lt;0,L60&gt;110)),"Edad fuera de rango",IF((V60="Sí")+(W60="Sí")+(X60="Sí")+(Y60="Sí")=0,"Marque al menos un tipo de violencia","OK")))))))</f>
        <v/>
      </c>
    </row>
    <row r="61">
      <c r="A61" s="12">
        <f>IF(OR(F61="",F61="Revisar",C61=""),"",F61&amp;"-"&amp;C61&amp;"-"&amp;TEXT(COUNTIFS($F$2:F61,F61,$C$2:C61,C61),"0000"))</f>
        <v/>
      </c>
      <c r="B61" s="13" t="n"/>
      <c r="C61" s="12">
        <f>IF(ISNUMBER(B61),YEAR(B61),"")</f>
        <v/>
      </c>
      <c r="D61" s="14" t="n"/>
      <c r="E61" s="14" t="n"/>
      <c r="F61" s="12">
        <f>IF(E61="","",IFERROR(VLOOKUP(E61,LISTAS!$A$2:$C$65,2,FALSE),"Revisar"))</f>
        <v/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2">
        <f>IF(COUNTA(B61:B61)+COUNTA(D61:E61)+COUNTA(G61:AJ61)=0,"",IF(COUNTBLANK(B61:B61)+COUNTBLANK(D61:E61)+COUNTBLANK(G61:G61)+COUNTBLANK(O61:AJ61)&gt;0,"Faltan "&amp;(COUNTBLANK(B61:B61)+COUNTBLANK(D61:E61)+COUNTBLANK(G61:G61)+COUNTBLANK(O61:AJ61))&amp;" datos obligatorios",IF(NOT(ISNUMBER(B61)),"Fecha no válida",IF(N(B61)&gt;TODAY(),"Fecha futura",IF(IFERROR(VLOOKUP(E61,LISTAS!$A$2:$C$65,3,FALSE),"")&lt;&gt;D61,"La subregión no corresponde al municipio",IF(IF(L61="",FALSE,OR(L61&lt;0,L61&gt;110)),"Edad fuera de rango",IF((V61="Sí")+(W61="Sí")+(X61="Sí")+(Y61="Sí")=0,"Marque al menos un tipo de violencia","OK")))))))</f>
        <v/>
      </c>
    </row>
    <row r="62">
      <c r="A62" s="12">
        <f>IF(OR(F62="",F62="Revisar",C62=""),"",F62&amp;"-"&amp;C62&amp;"-"&amp;TEXT(COUNTIFS($F$2:F62,F62,$C$2:C62,C62),"0000"))</f>
        <v/>
      </c>
      <c r="B62" s="13" t="n"/>
      <c r="C62" s="12">
        <f>IF(ISNUMBER(B62),YEAR(B62),"")</f>
        <v/>
      </c>
      <c r="D62" s="14" t="n"/>
      <c r="E62" s="14" t="n"/>
      <c r="F62" s="12">
        <f>IF(E62="","",IFERROR(VLOOKUP(E62,LISTAS!$A$2:$C$65,2,FALSE),"Revisar"))</f>
        <v/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2">
        <f>IF(COUNTA(B62:B62)+COUNTA(D62:E62)+COUNTA(G62:AJ62)=0,"",IF(COUNTBLANK(B62:B62)+COUNTBLANK(D62:E62)+COUNTBLANK(G62:G62)+COUNTBLANK(O62:AJ62)&gt;0,"Faltan "&amp;(COUNTBLANK(B62:B62)+COUNTBLANK(D62:E62)+COUNTBLANK(G62:G62)+COUNTBLANK(O62:AJ62))&amp;" datos obligatorios",IF(NOT(ISNUMBER(B62)),"Fecha no válida",IF(N(B62)&gt;TODAY(),"Fecha futura",IF(IFERROR(VLOOKUP(E62,LISTAS!$A$2:$C$65,3,FALSE),"")&lt;&gt;D62,"La subregión no corresponde al municipio",IF(IF(L62="",FALSE,OR(L62&lt;0,L62&gt;110)),"Edad fuera de rango",IF((V62="Sí")+(W62="Sí")+(X62="Sí")+(Y62="Sí")=0,"Marque al menos un tipo de violencia","OK")))))))</f>
        <v/>
      </c>
    </row>
    <row r="63">
      <c r="A63" s="12">
        <f>IF(OR(F63="",F63="Revisar",C63=""),"",F63&amp;"-"&amp;C63&amp;"-"&amp;TEXT(COUNTIFS($F$2:F63,F63,$C$2:C63,C63),"0000"))</f>
        <v/>
      </c>
      <c r="B63" s="13" t="n"/>
      <c r="C63" s="12">
        <f>IF(ISNUMBER(B63),YEAR(B63),"")</f>
        <v/>
      </c>
      <c r="D63" s="14" t="n"/>
      <c r="E63" s="14" t="n"/>
      <c r="F63" s="12">
        <f>IF(E63="","",IFERROR(VLOOKUP(E63,LISTAS!$A$2:$C$65,2,FALSE),"Revisar"))</f>
        <v/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2">
        <f>IF(COUNTA(B63:B63)+COUNTA(D63:E63)+COUNTA(G63:AJ63)=0,"",IF(COUNTBLANK(B63:B63)+COUNTBLANK(D63:E63)+COUNTBLANK(G63:G63)+COUNTBLANK(O63:AJ63)&gt;0,"Faltan "&amp;(COUNTBLANK(B63:B63)+COUNTBLANK(D63:E63)+COUNTBLANK(G63:G63)+COUNTBLANK(O63:AJ63))&amp;" datos obligatorios",IF(NOT(ISNUMBER(B63)),"Fecha no válida",IF(N(B63)&gt;TODAY(),"Fecha futura",IF(IFERROR(VLOOKUP(E63,LISTAS!$A$2:$C$65,3,FALSE),"")&lt;&gt;D63,"La subregión no corresponde al municipio",IF(IF(L63="",FALSE,OR(L63&lt;0,L63&gt;110)),"Edad fuera de rango",IF((V63="Sí")+(W63="Sí")+(X63="Sí")+(Y63="Sí")=0,"Marque al menos un tipo de violencia","OK")))))))</f>
        <v/>
      </c>
    </row>
    <row r="64">
      <c r="A64" s="12">
        <f>IF(OR(F64="",F64="Revisar",C64=""),"",F64&amp;"-"&amp;C64&amp;"-"&amp;TEXT(COUNTIFS($F$2:F64,F64,$C$2:C64,C64),"0000"))</f>
        <v/>
      </c>
      <c r="B64" s="13" t="n"/>
      <c r="C64" s="12">
        <f>IF(ISNUMBER(B64),YEAR(B64),"")</f>
        <v/>
      </c>
      <c r="D64" s="14" t="n"/>
      <c r="E64" s="14" t="n"/>
      <c r="F64" s="12">
        <f>IF(E64="","",IFERROR(VLOOKUP(E64,LISTAS!$A$2:$C$65,2,FALSE),"Revisar"))</f>
        <v/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2">
        <f>IF(COUNTA(B64:B64)+COUNTA(D64:E64)+COUNTA(G64:AJ64)=0,"",IF(COUNTBLANK(B64:B64)+COUNTBLANK(D64:E64)+COUNTBLANK(G64:G64)+COUNTBLANK(O64:AJ64)&gt;0,"Faltan "&amp;(COUNTBLANK(B64:B64)+COUNTBLANK(D64:E64)+COUNTBLANK(G64:G64)+COUNTBLANK(O64:AJ64))&amp;" datos obligatorios",IF(NOT(ISNUMBER(B64)),"Fecha no válida",IF(N(B64)&gt;TODAY(),"Fecha futura",IF(IFERROR(VLOOKUP(E64,LISTAS!$A$2:$C$65,3,FALSE),"")&lt;&gt;D64,"La subregión no corresponde al municipio",IF(IF(L64="",FALSE,OR(L64&lt;0,L64&gt;110)),"Edad fuera de rango",IF((V64="Sí")+(W64="Sí")+(X64="Sí")+(Y64="Sí")=0,"Marque al menos un tipo de violencia","OK")))))))</f>
        <v/>
      </c>
    </row>
    <row r="65">
      <c r="A65" s="12">
        <f>IF(OR(F65="",F65="Revisar",C65=""),"",F65&amp;"-"&amp;C65&amp;"-"&amp;TEXT(COUNTIFS($F$2:F65,F65,$C$2:C65,C65),"0000"))</f>
        <v/>
      </c>
      <c r="B65" s="13" t="n"/>
      <c r="C65" s="12">
        <f>IF(ISNUMBER(B65),YEAR(B65),"")</f>
        <v/>
      </c>
      <c r="D65" s="14" t="n"/>
      <c r="E65" s="14" t="n"/>
      <c r="F65" s="12">
        <f>IF(E65="","",IFERROR(VLOOKUP(E65,LISTAS!$A$2:$C$65,2,FALSE),"Revisar"))</f>
        <v/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2">
        <f>IF(COUNTA(B65:B65)+COUNTA(D65:E65)+COUNTA(G65:AJ65)=0,"",IF(COUNTBLANK(B65:B65)+COUNTBLANK(D65:E65)+COUNTBLANK(G65:G65)+COUNTBLANK(O65:AJ65)&gt;0,"Faltan "&amp;(COUNTBLANK(B65:B65)+COUNTBLANK(D65:E65)+COUNTBLANK(G65:G65)+COUNTBLANK(O65:AJ65))&amp;" datos obligatorios",IF(NOT(ISNUMBER(B65)),"Fecha no válida",IF(N(B65)&gt;TODAY(),"Fecha futura",IF(IFERROR(VLOOKUP(E65,LISTAS!$A$2:$C$65,3,FALSE),"")&lt;&gt;D65,"La subregión no corresponde al municipio",IF(IF(L65="",FALSE,OR(L65&lt;0,L65&gt;110)),"Edad fuera de rango",IF((V65="Sí")+(W65="Sí")+(X65="Sí")+(Y65="Sí")=0,"Marque al menos un tipo de violencia","OK")))))))</f>
        <v/>
      </c>
    </row>
    <row r="66">
      <c r="A66" s="12">
        <f>IF(OR(F66="",F66="Revisar",C66=""),"",F66&amp;"-"&amp;C66&amp;"-"&amp;TEXT(COUNTIFS($F$2:F66,F66,$C$2:C66,C66),"0000"))</f>
        <v/>
      </c>
      <c r="B66" s="13" t="n"/>
      <c r="C66" s="12">
        <f>IF(ISNUMBER(B66),YEAR(B66),"")</f>
        <v/>
      </c>
      <c r="D66" s="14" t="n"/>
      <c r="E66" s="14" t="n"/>
      <c r="F66" s="12">
        <f>IF(E66="","",IFERROR(VLOOKUP(E66,LISTAS!$A$2:$C$65,2,FALSE),"Revisar"))</f>
        <v/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2">
        <f>IF(COUNTA(B66:B66)+COUNTA(D66:E66)+COUNTA(G66:AJ66)=0,"",IF(COUNTBLANK(B66:B66)+COUNTBLANK(D66:E66)+COUNTBLANK(G66:G66)+COUNTBLANK(O66:AJ66)&gt;0,"Faltan "&amp;(COUNTBLANK(B66:B66)+COUNTBLANK(D66:E66)+COUNTBLANK(G66:G66)+COUNTBLANK(O66:AJ66))&amp;" datos obligatorios",IF(NOT(ISNUMBER(B66)),"Fecha no válida",IF(N(B66)&gt;TODAY(),"Fecha futura",IF(IFERROR(VLOOKUP(E66,LISTAS!$A$2:$C$65,3,FALSE),"")&lt;&gt;D66,"La subregión no corresponde al municipio",IF(IF(L66="",FALSE,OR(L66&lt;0,L66&gt;110)),"Edad fuera de rango",IF((V66="Sí")+(W66="Sí")+(X66="Sí")+(Y66="Sí")=0,"Marque al menos un tipo de violencia","OK")))))))</f>
        <v/>
      </c>
    </row>
    <row r="67">
      <c r="A67" s="12">
        <f>IF(OR(F67="",F67="Revisar",C67=""),"",F67&amp;"-"&amp;C67&amp;"-"&amp;TEXT(COUNTIFS($F$2:F67,F67,$C$2:C67,C67),"0000"))</f>
        <v/>
      </c>
      <c r="B67" s="13" t="n"/>
      <c r="C67" s="12">
        <f>IF(ISNUMBER(B67),YEAR(B67),"")</f>
        <v/>
      </c>
      <c r="D67" s="14" t="n"/>
      <c r="E67" s="14" t="n"/>
      <c r="F67" s="12">
        <f>IF(E67="","",IFERROR(VLOOKUP(E67,LISTAS!$A$2:$C$65,2,FALSE),"Revisar"))</f>
        <v/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2">
        <f>IF(COUNTA(B67:B67)+COUNTA(D67:E67)+COUNTA(G67:AJ67)=0,"",IF(COUNTBLANK(B67:B67)+COUNTBLANK(D67:E67)+COUNTBLANK(G67:G67)+COUNTBLANK(O67:AJ67)&gt;0,"Faltan "&amp;(COUNTBLANK(B67:B67)+COUNTBLANK(D67:E67)+COUNTBLANK(G67:G67)+COUNTBLANK(O67:AJ67))&amp;" datos obligatorios",IF(NOT(ISNUMBER(B67)),"Fecha no válida",IF(N(B67)&gt;TODAY(),"Fecha futura",IF(IFERROR(VLOOKUP(E67,LISTAS!$A$2:$C$65,3,FALSE),"")&lt;&gt;D67,"La subregión no corresponde al municipio",IF(IF(L67="",FALSE,OR(L67&lt;0,L67&gt;110)),"Edad fuera de rango",IF((V67="Sí")+(W67="Sí")+(X67="Sí")+(Y67="Sí")=0,"Marque al menos un tipo de violencia","OK")))))))</f>
        <v/>
      </c>
    </row>
    <row r="68">
      <c r="A68" s="12">
        <f>IF(OR(F68="",F68="Revisar",C68=""),"",F68&amp;"-"&amp;C68&amp;"-"&amp;TEXT(COUNTIFS($F$2:F68,F68,$C$2:C68,C68),"0000"))</f>
        <v/>
      </c>
      <c r="B68" s="13" t="n"/>
      <c r="C68" s="12">
        <f>IF(ISNUMBER(B68),YEAR(B68),"")</f>
        <v/>
      </c>
      <c r="D68" s="14" t="n"/>
      <c r="E68" s="14" t="n"/>
      <c r="F68" s="12">
        <f>IF(E68="","",IFERROR(VLOOKUP(E68,LISTAS!$A$2:$C$65,2,FALSE),"Revisar"))</f>
        <v/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2">
        <f>IF(COUNTA(B68:B68)+COUNTA(D68:E68)+COUNTA(G68:AJ68)=0,"",IF(COUNTBLANK(B68:B68)+COUNTBLANK(D68:E68)+COUNTBLANK(G68:G68)+COUNTBLANK(O68:AJ68)&gt;0,"Faltan "&amp;(COUNTBLANK(B68:B68)+COUNTBLANK(D68:E68)+COUNTBLANK(G68:G68)+COUNTBLANK(O68:AJ68))&amp;" datos obligatorios",IF(NOT(ISNUMBER(B68)),"Fecha no válida",IF(N(B68)&gt;TODAY(),"Fecha futura",IF(IFERROR(VLOOKUP(E68,LISTAS!$A$2:$C$65,3,FALSE),"")&lt;&gt;D68,"La subregión no corresponde al municipio",IF(IF(L68="",FALSE,OR(L68&lt;0,L68&gt;110)),"Edad fuera de rango",IF((V68="Sí")+(W68="Sí")+(X68="Sí")+(Y68="Sí")=0,"Marque al menos un tipo de violencia","OK")))))))</f>
        <v/>
      </c>
    </row>
    <row r="69">
      <c r="A69" s="12">
        <f>IF(OR(F69="",F69="Revisar",C69=""),"",F69&amp;"-"&amp;C69&amp;"-"&amp;TEXT(COUNTIFS($F$2:F69,F69,$C$2:C69,C69),"0000"))</f>
        <v/>
      </c>
      <c r="B69" s="13" t="n"/>
      <c r="C69" s="12">
        <f>IF(ISNUMBER(B69),YEAR(B69),"")</f>
        <v/>
      </c>
      <c r="D69" s="14" t="n"/>
      <c r="E69" s="14" t="n"/>
      <c r="F69" s="12">
        <f>IF(E69="","",IFERROR(VLOOKUP(E69,LISTAS!$A$2:$C$65,2,FALSE),"Revisar"))</f>
        <v/>
      </c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2">
        <f>IF(COUNTA(B69:B69)+COUNTA(D69:E69)+COUNTA(G69:AJ69)=0,"",IF(COUNTBLANK(B69:B69)+COUNTBLANK(D69:E69)+COUNTBLANK(G69:G69)+COUNTBLANK(O69:AJ69)&gt;0,"Faltan "&amp;(COUNTBLANK(B69:B69)+COUNTBLANK(D69:E69)+COUNTBLANK(G69:G69)+COUNTBLANK(O69:AJ69))&amp;" datos obligatorios",IF(NOT(ISNUMBER(B69)),"Fecha no válida",IF(N(B69)&gt;TODAY(),"Fecha futura",IF(IFERROR(VLOOKUP(E69,LISTAS!$A$2:$C$65,3,FALSE),"")&lt;&gt;D69,"La subregión no corresponde al municipio",IF(IF(L69="",FALSE,OR(L69&lt;0,L69&gt;110)),"Edad fuera de rango",IF((V69="Sí")+(W69="Sí")+(X69="Sí")+(Y69="Sí")=0,"Marque al menos un tipo de violencia","OK")))))))</f>
        <v/>
      </c>
    </row>
    <row r="70">
      <c r="A70" s="12">
        <f>IF(OR(F70="",F70="Revisar",C70=""),"",F70&amp;"-"&amp;C70&amp;"-"&amp;TEXT(COUNTIFS($F$2:F70,F70,$C$2:C70,C70),"0000"))</f>
        <v/>
      </c>
      <c r="B70" s="13" t="n"/>
      <c r="C70" s="12">
        <f>IF(ISNUMBER(B70),YEAR(B70),"")</f>
        <v/>
      </c>
      <c r="D70" s="14" t="n"/>
      <c r="E70" s="14" t="n"/>
      <c r="F70" s="12">
        <f>IF(E70="","",IFERROR(VLOOKUP(E70,LISTAS!$A$2:$C$65,2,FALSE),"Revisar"))</f>
        <v/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2">
        <f>IF(COUNTA(B70:B70)+COUNTA(D70:E70)+COUNTA(G70:AJ70)=0,"",IF(COUNTBLANK(B70:B70)+COUNTBLANK(D70:E70)+COUNTBLANK(G70:G70)+COUNTBLANK(O70:AJ70)&gt;0,"Faltan "&amp;(COUNTBLANK(B70:B70)+COUNTBLANK(D70:E70)+COUNTBLANK(G70:G70)+COUNTBLANK(O70:AJ70))&amp;" datos obligatorios",IF(NOT(ISNUMBER(B70)),"Fecha no válida",IF(N(B70)&gt;TODAY(),"Fecha futura",IF(IFERROR(VLOOKUP(E70,LISTAS!$A$2:$C$65,3,FALSE),"")&lt;&gt;D70,"La subregión no corresponde al municipio",IF(IF(L70="",FALSE,OR(L70&lt;0,L70&gt;110)),"Edad fuera de rango",IF((V70="Sí")+(W70="Sí")+(X70="Sí")+(Y70="Sí")=0,"Marque al menos un tipo de violencia","OK")))))))</f>
        <v/>
      </c>
    </row>
    <row r="71">
      <c r="A71" s="12">
        <f>IF(OR(F71="",F71="Revisar",C71=""),"",F71&amp;"-"&amp;C71&amp;"-"&amp;TEXT(COUNTIFS($F$2:F71,F71,$C$2:C71,C71),"0000"))</f>
        <v/>
      </c>
      <c r="B71" s="13" t="n"/>
      <c r="C71" s="12">
        <f>IF(ISNUMBER(B71),YEAR(B71),"")</f>
        <v/>
      </c>
      <c r="D71" s="14" t="n"/>
      <c r="E71" s="14" t="n"/>
      <c r="F71" s="12">
        <f>IF(E71="","",IFERROR(VLOOKUP(E71,LISTAS!$A$2:$C$65,2,FALSE),"Revisar"))</f>
        <v/>
      </c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2">
        <f>IF(COUNTA(B71:B71)+COUNTA(D71:E71)+COUNTA(G71:AJ71)=0,"",IF(COUNTBLANK(B71:B71)+COUNTBLANK(D71:E71)+COUNTBLANK(G71:G71)+COUNTBLANK(O71:AJ71)&gt;0,"Faltan "&amp;(COUNTBLANK(B71:B71)+COUNTBLANK(D71:E71)+COUNTBLANK(G71:G71)+COUNTBLANK(O71:AJ71))&amp;" datos obligatorios",IF(NOT(ISNUMBER(B71)),"Fecha no válida",IF(N(B71)&gt;TODAY(),"Fecha futura",IF(IFERROR(VLOOKUP(E71,LISTAS!$A$2:$C$65,3,FALSE),"")&lt;&gt;D71,"La subregión no corresponde al municipio",IF(IF(L71="",FALSE,OR(L71&lt;0,L71&gt;110)),"Edad fuera de rango",IF((V71="Sí")+(W71="Sí")+(X71="Sí")+(Y71="Sí")=0,"Marque al menos un tipo de violencia","OK")))))))</f>
        <v/>
      </c>
    </row>
    <row r="72">
      <c r="A72" s="12">
        <f>IF(OR(F72="",F72="Revisar",C72=""),"",F72&amp;"-"&amp;C72&amp;"-"&amp;TEXT(COUNTIFS($F$2:F72,F72,$C$2:C72,C72),"0000"))</f>
        <v/>
      </c>
      <c r="B72" s="13" t="n"/>
      <c r="C72" s="12">
        <f>IF(ISNUMBER(B72),YEAR(B72),"")</f>
        <v/>
      </c>
      <c r="D72" s="14" t="n"/>
      <c r="E72" s="14" t="n"/>
      <c r="F72" s="12">
        <f>IF(E72="","",IFERROR(VLOOKUP(E72,LISTAS!$A$2:$C$65,2,FALSE),"Revisar"))</f>
        <v/>
      </c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2">
        <f>IF(COUNTA(B72:B72)+COUNTA(D72:E72)+COUNTA(G72:AJ72)=0,"",IF(COUNTBLANK(B72:B72)+COUNTBLANK(D72:E72)+COUNTBLANK(G72:G72)+COUNTBLANK(O72:AJ72)&gt;0,"Faltan "&amp;(COUNTBLANK(B72:B72)+COUNTBLANK(D72:E72)+COUNTBLANK(G72:G72)+COUNTBLANK(O72:AJ72))&amp;" datos obligatorios",IF(NOT(ISNUMBER(B72)),"Fecha no válida",IF(N(B72)&gt;TODAY(),"Fecha futura",IF(IFERROR(VLOOKUP(E72,LISTAS!$A$2:$C$65,3,FALSE),"")&lt;&gt;D72,"La subregión no corresponde al municipio",IF(IF(L72="",FALSE,OR(L72&lt;0,L72&gt;110)),"Edad fuera de rango",IF((V72="Sí")+(W72="Sí")+(X72="Sí")+(Y72="Sí")=0,"Marque al menos un tipo de violencia","OK")))))))</f>
        <v/>
      </c>
    </row>
    <row r="73">
      <c r="A73" s="12">
        <f>IF(OR(F73="",F73="Revisar",C73=""),"",F73&amp;"-"&amp;C73&amp;"-"&amp;TEXT(COUNTIFS($F$2:F73,F73,$C$2:C73,C73),"0000"))</f>
        <v/>
      </c>
      <c r="B73" s="13" t="n"/>
      <c r="C73" s="12">
        <f>IF(ISNUMBER(B73),YEAR(B73),"")</f>
        <v/>
      </c>
      <c r="D73" s="14" t="n"/>
      <c r="E73" s="14" t="n"/>
      <c r="F73" s="12">
        <f>IF(E73="","",IFERROR(VLOOKUP(E73,LISTAS!$A$2:$C$65,2,FALSE),"Revisar"))</f>
        <v/>
      </c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2">
        <f>IF(COUNTA(B73:B73)+COUNTA(D73:E73)+COUNTA(G73:AJ73)=0,"",IF(COUNTBLANK(B73:B73)+COUNTBLANK(D73:E73)+COUNTBLANK(G73:G73)+COUNTBLANK(O73:AJ73)&gt;0,"Faltan "&amp;(COUNTBLANK(B73:B73)+COUNTBLANK(D73:E73)+COUNTBLANK(G73:G73)+COUNTBLANK(O73:AJ73))&amp;" datos obligatorios",IF(NOT(ISNUMBER(B73)),"Fecha no válida",IF(N(B73)&gt;TODAY(),"Fecha futura",IF(IFERROR(VLOOKUP(E73,LISTAS!$A$2:$C$65,3,FALSE),"")&lt;&gt;D73,"La subregión no corresponde al municipio",IF(IF(L73="",FALSE,OR(L73&lt;0,L73&gt;110)),"Edad fuera de rango",IF((V73="Sí")+(W73="Sí")+(X73="Sí")+(Y73="Sí")=0,"Marque al menos un tipo de violencia","OK")))))))</f>
        <v/>
      </c>
    </row>
    <row r="74">
      <c r="A74" s="12">
        <f>IF(OR(F74="",F74="Revisar",C74=""),"",F74&amp;"-"&amp;C74&amp;"-"&amp;TEXT(COUNTIFS($F$2:F74,F74,$C$2:C74,C74),"0000"))</f>
        <v/>
      </c>
      <c r="B74" s="13" t="n"/>
      <c r="C74" s="12">
        <f>IF(ISNUMBER(B74),YEAR(B74),"")</f>
        <v/>
      </c>
      <c r="D74" s="14" t="n"/>
      <c r="E74" s="14" t="n"/>
      <c r="F74" s="12">
        <f>IF(E74="","",IFERROR(VLOOKUP(E74,LISTAS!$A$2:$C$65,2,FALSE),"Revisar"))</f>
        <v/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2">
        <f>IF(COUNTA(B74:B74)+COUNTA(D74:E74)+COUNTA(G74:AJ74)=0,"",IF(COUNTBLANK(B74:B74)+COUNTBLANK(D74:E74)+COUNTBLANK(G74:G74)+COUNTBLANK(O74:AJ74)&gt;0,"Faltan "&amp;(COUNTBLANK(B74:B74)+COUNTBLANK(D74:E74)+COUNTBLANK(G74:G74)+COUNTBLANK(O74:AJ74))&amp;" datos obligatorios",IF(NOT(ISNUMBER(B74)),"Fecha no válida",IF(N(B74)&gt;TODAY(),"Fecha futura",IF(IFERROR(VLOOKUP(E74,LISTAS!$A$2:$C$65,3,FALSE),"")&lt;&gt;D74,"La subregión no corresponde al municipio",IF(IF(L74="",FALSE,OR(L74&lt;0,L74&gt;110)),"Edad fuera de rango",IF((V74="Sí")+(W74="Sí")+(X74="Sí")+(Y74="Sí")=0,"Marque al menos un tipo de violencia","OK")))))))</f>
        <v/>
      </c>
    </row>
    <row r="75">
      <c r="A75" s="12">
        <f>IF(OR(F75="",F75="Revisar",C75=""),"",F75&amp;"-"&amp;C75&amp;"-"&amp;TEXT(COUNTIFS($F$2:F75,F75,$C$2:C75,C75),"0000"))</f>
        <v/>
      </c>
      <c r="B75" s="13" t="n"/>
      <c r="C75" s="12">
        <f>IF(ISNUMBER(B75),YEAR(B75),"")</f>
        <v/>
      </c>
      <c r="D75" s="14" t="n"/>
      <c r="E75" s="14" t="n"/>
      <c r="F75" s="12">
        <f>IF(E75="","",IFERROR(VLOOKUP(E75,LISTAS!$A$2:$C$65,2,FALSE),"Revisar"))</f>
        <v/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2">
        <f>IF(COUNTA(B75:B75)+COUNTA(D75:E75)+COUNTA(G75:AJ75)=0,"",IF(COUNTBLANK(B75:B75)+COUNTBLANK(D75:E75)+COUNTBLANK(G75:G75)+COUNTBLANK(O75:AJ75)&gt;0,"Faltan "&amp;(COUNTBLANK(B75:B75)+COUNTBLANK(D75:E75)+COUNTBLANK(G75:G75)+COUNTBLANK(O75:AJ75))&amp;" datos obligatorios",IF(NOT(ISNUMBER(B75)),"Fecha no válida",IF(N(B75)&gt;TODAY(),"Fecha futura",IF(IFERROR(VLOOKUP(E75,LISTAS!$A$2:$C$65,3,FALSE),"")&lt;&gt;D75,"La subregión no corresponde al municipio",IF(IF(L75="",FALSE,OR(L75&lt;0,L75&gt;110)),"Edad fuera de rango",IF((V75="Sí")+(W75="Sí")+(X75="Sí")+(Y75="Sí")=0,"Marque al menos un tipo de violencia","OK")))))))</f>
        <v/>
      </c>
    </row>
    <row r="76">
      <c r="A76" s="12">
        <f>IF(OR(F76="",F76="Revisar",C76=""),"",F76&amp;"-"&amp;C76&amp;"-"&amp;TEXT(COUNTIFS($F$2:F76,F76,$C$2:C76,C76),"0000"))</f>
        <v/>
      </c>
      <c r="B76" s="13" t="n"/>
      <c r="C76" s="12">
        <f>IF(ISNUMBER(B76),YEAR(B76),"")</f>
        <v/>
      </c>
      <c r="D76" s="14" t="n"/>
      <c r="E76" s="14" t="n"/>
      <c r="F76" s="12">
        <f>IF(E76="","",IFERROR(VLOOKUP(E76,LISTAS!$A$2:$C$65,2,FALSE),"Revisar"))</f>
        <v/>
      </c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2">
        <f>IF(COUNTA(B76:B76)+COUNTA(D76:E76)+COUNTA(G76:AJ76)=0,"",IF(COUNTBLANK(B76:B76)+COUNTBLANK(D76:E76)+COUNTBLANK(G76:G76)+COUNTBLANK(O76:AJ76)&gt;0,"Faltan "&amp;(COUNTBLANK(B76:B76)+COUNTBLANK(D76:E76)+COUNTBLANK(G76:G76)+COUNTBLANK(O76:AJ76))&amp;" datos obligatorios",IF(NOT(ISNUMBER(B76)),"Fecha no válida",IF(N(B76)&gt;TODAY(),"Fecha futura",IF(IFERROR(VLOOKUP(E76,LISTAS!$A$2:$C$65,3,FALSE),"")&lt;&gt;D76,"La subregión no corresponde al municipio",IF(IF(L76="",FALSE,OR(L76&lt;0,L76&gt;110)),"Edad fuera de rango",IF((V76="Sí")+(W76="Sí")+(X76="Sí")+(Y76="Sí")=0,"Marque al menos un tipo de violencia","OK")))))))</f>
        <v/>
      </c>
    </row>
    <row r="77">
      <c r="A77" s="12">
        <f>IF(OR(F77="",F77="Revisar",C77=""),"",F77&amp;"-"&amp;C77&amp;"-"&amp;TEXT(COUNTIFS($F$2:F77,F77,$C$2:C77,C77),"0000"))</f>
        <v/>
      </c>
      <c r="B77" s="13" t="n"/>
      <c r="C77" s="12">
        <f>IF(ISNUMBER(B77),YEAR(B77),"")</f>
        <v/>
      </c>
      <c r="D77" s="14" t="n"/>
      <c r="E77" s="14" t="n"/>
      <c r="F77" s="12">
        <f>IF(E77="","",IFERROR(VLOOKUP(E77,LISTAS!$A$2:$C$65,2,FALSE),"Revisar"))</f>
        <v/>
      </c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2">
        <f>IF(COUNTA(B77:B77)+COUNTA(D77:E77)+COUNTA(G77:AJ77)=0,"",IF(COUNTBLANK(B77:B77)+COUNTBLANK(D77:E77)+COUNTBLANK(G77:G77)+COUNTBLANK(O77:AJ77)&gt;0,"Faltan "&amp;(COUNTBLANK(B77:B77)+COUNTBLANK(D77:E77)+COUNTBLANK(G77:G77)+COUNTBLANK(O77:AJ77))&amp;" datos obligatorios",IF(NOT(ISNUMBER(B77)),"Fecha no válida",IF(N(B77)&gt;TODAY(),"Fecha futura",IF(IFERROR(VLOOKUP(E77,LISTAS!$A$2:$C$65,3,FALSE),"")&lt;&gt;D77,"La subregión no corresponde al municipio",IF(IF(L77="",FALSE,OR(L77&lt;0,L77&gt;110)),"Edad fuera de rango",IF((V77="Sí")+(W77="Sí")+(X77="Sí")+(Y77="Sí")=0,"Marque al menos un tipo de violencia","OK")))))))</f>
        <v/>
      </c>
    </row>
    <row r="78">
      <c r="A78" s="12">
        <f>IF(OR(F78="",F78="Revisar",C78=""),"",F78&amp;"-"&amp;C78&amp;"-"&amp;TEXT(COUNTIFS($F$2:F78,F78,$C$2:C78,C78),"0000"))</f>
        <v/>
      </c>
      <c r="B78" s="13" t="n"/>
      <c r="C78" s="12">
        <f>IF(ISNUMBER(B78),YEAR(B78),"")</f>
        <v/>
      </c>
      <c r="D78" s="14" t="n"/>
      <c r="E78" s="14" t="n"/>
      <c r="F78" s="12">
        <f>IF(E78="","",IFERROR(VLOOKUP(E78,LISTAS!$A$2:$C$65,2,FALSE),"Revisar"))</f>
        <v/>
      </c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2">
        <f>IF(COUNTA(B78:B78)+COUNTA(D78:E78)+COUNTA(G78:AJ78)=0,"",IF(COUNTBLANK(B78:B78)+COUNTBLANK(D78:E78)+COUNTBLANK(G78:G78)+COUNTBLANK(O78:AJ78)&gt;0,"Faltan "&amp;(COUNTBLANK(B78:B78)+COUNTBLANK(D78:E78)+COUNTBLANK(G78:G78)+COUNTBLANK(O78:AJ78))&amp;" datos obligatorios",IF(NOT(ISNUMBER(B78)),"Fecha no válida",IF(N(B78)&gt;TODAY(),"Fecha futura",IF(IFERROR(VLOOKUP(E78,LISTAS!$A$2:$C$65,3,FALSE),"")&lt;&gt;D78,"La subregión no corresponde al municipio",IF(IF(L78="",FALSE,OR(L78&lt;0,L78&gt;110)),"Edad fuera de rango",IF((V78="Sí")+(W78="Sí")+(X78="Sí")+(Y78="Sí")=0,"Marque al menos un tipo de violencia","OK")))))))</f>
        <v/>
      </c>
    </row>
    <row r="79">
      <c r="A79" s="12">
        <f>IF(OR(F79="",F79="Revisar",C79=""),"",F79&amp;"-"&amp;C79&amp;"-"&amp;TEXT(COUNTIFS($F$2:F79,F79,$C$2:C79,C79),"0000"))</f>
        <v/>
      </c>
      <c r="B79" s="13" t="n"/>
      <c r="C79" s="12">
        <f>IF(ISNUMBER(B79),YEAR(B79),"")</f>
        <v/>
      </c>
      <c r="D79" s="14" t="n"/>
      <c r="E79" s="14" t="n"/>
      <c r="F79" s="12">
        <f>IF(E79="","",IFERROR(VLOOKUP(E79,LISTAS!$A$2:$C$65,2,FALSE),"Revisar"))</f>
        <v/>
      </c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2">
        <f>IF(COUNTA(B79:B79)+COUNTA(D79:E79)+COUNTA(G79:AJ79)=0,"",IF(COUNTBLANK(B79:B79)+COUNTBLANK(D79:E79)+COUNTBLANK(G79:G79)+COUNTBLANK(O79:AJ79)&gt;0,"Faltan "&amp;(COUNTBLANK(B79:B79)+COUNTBLANK(D79:E79)+COUNTBLANK(G79:G79)+COUNTBLANK(O79:AJ79))&amp;" datos obligatorios",IF(NOT(ISNUMBER(B79)),"Fecha no válida",IF(N(B79)&gt;TODAY(),"Fecha futura",IF(IFERROR(VLOOKUP(E79,LISTAS!$A$2:$C$65,3,FALSE),"")&lt;&gt;D79,"La subregión no corresponde al municipio",IF(IF(L79="",FALSE,OR(L79&lt;0,L79&gt;110)),"Edad fuera de rango",IF((V79="Sí")+(W79="Sí")+(X79="Sí")+(Y79="Sí")=0,"Marque al menos un tipo de violencia","OK")))))))</f>
        <v/>
      </c>
    </row>
    <row r="80">
      <c r="A80" s="12">
        <f>IF(OR(F80="",F80="Revisar",C80=""),"",F80&amp;"-"&amp;C80&amp;"-"&amp;TEXT(COUNTIFS($F$2:F80,F80,$C$2:C80,C80),"0000"))</f>
        <v/>
      </c>
      <c r="B80" s="13" t="n"/>
      <c r="C80" s="12">
        <f>IF(ISNUMBER(B80),YEAR(B80),"")</f>
        <v/>
      </c>
      <c r="D80" s="14" t="n"/>
      <c r="E80" s="14" t="n"/>
      <c r="F80" s="12">
        <f>IF(E80="","",IFERROR(VLOOKUP(E80,LISTAS!$A$2:$C$65,2,FALSE),"Revisar"))</f>
        <v/>
      </c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2">
        <f>IF(COUNTA(B80:B80)+COUNTA(D80:E80)+COUNTA(G80:AJ80)=0,"",IF(COUNTBLANK(B80:B80)+COUNTBLANK(D80:E80)+COUNTBLANK(G80:G80)+COUNTBLANK(O80:AJ80)&gt;0,"Faltan "&amp;(COUNTBLANK(B80:B80)+COUNTBLANK(D80:E80)+COUNTBLANK(G80:G80)+COUNTBLANK(O80:AJ80))&amp;" datos obligatorios",IF(NOT(ISNUMBER(B80)),"Fecha no válida",IF(N(B80)&gt;TODAY(),"Fecha futura",IF(IFERROR(VLOOKUP(E80,LISTAS!$A$2:$C$65,3,FALSE),"")&lt;&gt;D80,"La subregión no corresponde al municipio",IF(IF(L80="",FALSE,OR(L80&lt;0,L80&gt;110)),"Edad fuera de rango",IF((V80="Sí")+(W80="Sí")+(X80="Sí")+(Y80="Sí")=0,"Marque al menos un tipo de violencia","OK")))))))</f>
        <v/>
      </c>
    </row>
    <row r="81">
      <c r="A81" s="12">
        <f>IF(OR(F81="",F81="Revisar",C81=""),"",F81&amp;"-"&amp;C81&amp;"-"&amp;TEXT(COUNTIFS($F$2:F81,F81,$C$2:C81,C81),"0000"))</f>
        <v/>
      </c>
      <c r="B81" s="13" t="n"/>
      <c r="C81" s="12">
        <f>IF(ISNUMBER(B81),YEAR(B81),"")</f>
        <v/>
      </c>
      <c r="D81" s="14" t="n"/>
      <c r="E81" s="14" t="n"/>
      <c r="F81" s="12">
        <f>IF(E81="","",IFERROR(VLOOKUP(E81,LISTAS!$A$2:$C$65,2,FALSE),"Revisar"))</f>
        <v/>
      </c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2">
        <f>IF(COUNTA(B81:B81)+COUNTA(D81:E81)+COUNTA(G81:AJ81)=0,"",IF(COUNTBLANK(B81:B81)+COUNTBLANK(D81:E81)+COUNTBLANK(G81:G81)+COUNTBLANK(O81:AJ81)&gt;0,"Faltan "&amp;(COUNTBLANK(B81:B81)+COUNTBLANK(D81:E81)+COUNTBLANK(G81:G81)+COUNTBLANK(O81:AJ81))&amp;" datos obligatorios",IF(NOT(ISNUMBER(B81)),"Fecha no válida",IF(N(B81)&gt;TODAY(),"Fecha futura",IF(IFERROR(VLOOKUP(E81,LISTAS!$A$2:$C$65,3,FALSE),"")&lt;&gt;D81,"La subregión no corresponde al municipio",IF(IF(L81="",FALSE,OR(L81&lt;0,L81&gt;110)),"Edad fuera de rango",IF((V81="Sí")+(W81="Sí")+(X81="Sí")+(Y81="Sí")=0,"Marque al menos un tipo de violencia","OK")))))))</f>
        <v/>
      </c>
    </row>
    <row r="82">
      <c r="A82" s="12">
        <f>IF(OR(F82="",F82="Revisar",C82=""),"",F82&amp;"-"&amp;C82&amp;"-"&amp;TEXT(COUNTIFS($F$2:F82,F82,$C$2:C82,C82),"0000"))</f>
        <v/>
      </c>
      <c r="B82" s="13" t="n"/>
      <c r="C82" s="12">
        <f>IF(ISNUMBER(B82),YEAR(B82),"")</f>
        <v/>
      </c>
      <c r="D82" s="14" t="n"/>
      <c r="E82" s="14" t="n"/>
      <c r="F82" s="12">
        <f>IF(E82="","",IFERROR(VLOOKUP(E82,LISTAS!$A$2:$C$65,2,FALSE),"Revisar"))</f>
        <v/>
      </c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2">
        <f>IF(COUNTA(B82:B82)+COUNTA(D82:E82)+COUNTA(G82:AJ82)=0,"",IF(COUNTBLANK(B82:B82)+COUNTBLANK(D82:E82)+COUNTBLANK(G82:G82)+COUNTBLANK(O82:AJ82)&gt;0,"Faltan "&amp;(COUNTBLANK(B82:B82)+COUNTBLANK(D82:E82)+COUNTBLANK(G82:G82)+COUNTBLANK(O82:AJ82))&amp;" datos obligatorios",IF(NOT(ISNUMBER(B82)),"Fecha no válida",IF(N(B82)&gt;TODAY(),"Fecha futura",IF(IFERROR(VLOOKUP(E82,LISTAS!$A$2:$C$65,3,FALSE),"")&lt;&gt;D82,"La subregión no corresponde al municipio",IF(IF(L82="",FALSE,OR(L82&lt;0,L82&gt;110)),"Edad fuera de rango",IF((V82="Sí")+(W82="Sí")+(X82="Sí")+(Y82="Sí")=0,"Marque al menos un tipo de violencia","OK")))))))</f>
        <v/>
      </c>
    </row>
    <row r="83">
      <c r="A83" s="12">
        <f>IF(OR(F83="",F83="Revisar",C83=""),"",F83&amp;"-"&amp;C83&amp;"-"&amp;TEXT(COUNTIFS($F$2:F83,F83,$C$2:C83,C83),"0000"))</f>
        <v/>
      </c>
      <c r="B83" s="13" t="n"/>
      <c r="C83" s="12">
        <f>IF(ISNUMBER(B83),YEAR(B83),"")</f>
        <v/>
      </c>
      <c r="D83" s="14" t="n"/>
      <c r="E83" s="14" t="n"/>
      <c r="F83" s="12">
        <f>IF(E83="","",IFERROR(VLOOKUP(E83,LISTAS!$A$2:$C$65,2,FALSE),"Revisar"))</f>
        <v/>
      </c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2">
        <f>IF(COUNTA(B83:B83)+COUNTA(D83:E83)+COUNTA(G83:AJ83)=0,"",IF(COUNTBLANK(B83:B83)+COUNTBLANK(D83:E83)+COUNTBLANK(G83:G83)+COUNTBLANK(O83:AJ83)&gt;0,"Faltan "&amp;(COUNTBLANK(B83:B83)+COUNTBLANK(D83:E83)+COUNTBLANK(G83:G83)+COUNTBLANK(O83:AJ83))&amp;" datos obligatorios",IF(NOT(ISNUMBER(B83)),"Fecha no válida",IF(N(B83)&gt;TODAY(),"Fecha futura",IF(IFERROR(VLOOKUP(E83,LISTAS!$A$2:$C$65,3,FALSE),"")&lt;&gt;D83,"La subregión no corresponde al municipio",IF(IF(L83="",FALSE,OR(L83&lt;0,L83&gt;110)),"Edad fuera de rango",IF((V83="Sí")+(W83="Sí")+(X83="Sí")+(Y83="Sí")=0,"Marque al menos un tipo de violencia","OK")))))))</f>
        <v/>
      </c>
    </row>
    <row r="84">
      <c r="A84" s="12">
        <f>IF(OR(F84="",F84="Revisar",C84=""),"",F84&amp;"-"&amp;C84&amp;"-"&amp;TEXT(COUNTIFS($F$2:F84,F84,$C$2:C84,C84),"0000"))</f>
        <v/>
      </c>
      <c r="B84" s="13" t="n"/>
      <c r="C84" s="12">
        <f>IF(ISNUMBER(B84),YEAR(B84),"")</f>
        <v/>
      </c>
      <c r="D84" s="14" t="n"/>
      <c r="E84" s="14" t="n"/>
      <c r="F84" s="12">
        <f>IF(E84="","",IFERROR(VLOOKUP(E84,LISTAS!$A$2:$C$65,2,FALSE),"Revisar"))</f>
        <v/>
      </c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2">
        <f>IF(COUNTA(B84:B84)+COUNTA(D84:E84)+COUNTA(G84:AJ84)=0,"",IF(COUNTBLANK(B84:B84)+COUNTBLANK(D84:E84)+COUNTBLANK(G84:G84)+COUNTBLANK(O84:AJ84)&gt;0,"Faltan "&amp;(COUNTBLANK(B84:B84)+COUNTBLANK(D84:E84)+COUNTBLANK(G84:G84)+COUNTBLANK(O84:AJ84))&amp;" datos obligatorios",IF(NOT(ISNUMBER(B84)),"Fecha no válida",IF(N(B84)&gt;TODAY(),"Fecha futura",IF(IFERROR(VLOOKUP(E84,LISTAS!$A$2:$C$65,3,FALSE),"")&lt;&gt;D84,"La subregión no corresponde al municipio",IF(IF(L84="",FALSE,OR(L84&lt;0,L84&gt;110)),"Edad fuera de rango",IF((V84="Sí")+(W84="Sí")+(X84="Sí")+(Y84="Sí")=0,"Marque al menos un tipo de violencia","OK")))))))</f>
        <v/>
      </c>
    </row>
    <row r="85">
      <c r="A85" s="12">
        <f>IF(OR(F85="",F85="Revisar",C85=""),"",F85&amp;"-"&amp;C85&amp;"-"&amp;TEXT(COUNTIFS($F$2:F85,F85,$C$2:C85,C85),"0000"))</f>
        <v/>
      </c>
      <c r="B85" s="13" t="n"/>
      <c r="C85" s="12">
        <f>IF(ISNUMBER(B85),YEAR(B85),"")</f>
        <v/>
      </c>
      <c r="D85" s="14" t="n"/>
      <c r="E85" s="14" t="n"/>
      <c r="F85" s="12">
        <f>IF(E85="","",IFERROR(VLOOKUP(E85,LISTAS!$A$2:$C$65,2,FALSE),"Revisar"))</f>
        <v/>
      </c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2">
        <f>IF(COUNTA(B85:B85)+COUNTA(D85:E85)+COUNTA(G85:AJ85)=0,"",IF(COUNTBLANK(B85:B85)+COUNTBLANK(D85:E85)+COUNTBLANK(G85:G85)+COUNTBLANK(O85:AJ85)&gt;0,"Faltan "&amp;(COUNTBLANK(B85:B85)+COUNTBLANK(D85:E85)+COUNTBLANK(G85:G85)+COUNTBLANK(O85:AJ85))&amp;" datos obligatorios",IF(NOT(ISNUMBER(B85)),"Fecha no válida",IF(N(B85)&gt;TODAY(),"Fecha futura",IF(IFERROR(VLOOKUP(E85,LISTAS!$A$2:$C$65,3,FALSE),"")&lt;&gt;D85,"La subregión no corresponde al municipio",IF(IF(L85="",FALSE,OR(L85&lt;0,L85&gt;110)),"Edad fuera de rango",IF((V85="Sí")+(W85="Sí")+(X85="Sí")+(Y85="Sí")=0,"Marque al menos un tipo de violencia","OK")))))))</f>
        <v/>
      </c>
    </row>
    <row r="86">
      <c r="A86" s="12">
        <f>IF(OR(F86="",F86="Revisar",C86=""),"",F86&amp;"-"&amp;C86&amp;"-"&amp;TEXT(COUNTIFS($F$2:F86,F86,$C$2:C86,C86),"0000"))</f>
        <v/>
      </c>
      <c r="B86" s="13" t="n"/>
      <c r="C86" s="12">
        <f>IF(ISNUMBER(B86),YEAR(B86),"")</f>
        <v/>
      </c>
      <c r="D86" s="14" t="n"/>
      <c r="E86" s="14" t="n"/>
      <c r="F86" s="12">
        <f>IF(E86="","",IFERROR(VLOOKUP(E86,LISTAS!$A$2:$C$65,2,FALSE),"Revisar"))</f>
        <v/>
      </c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2">
        <f>IF(COUNTA(B86:B86)+COUNTA(D86:E86)+COUNTA(G86:AJ86)=0,"",IF(COUNTBLANK(B86:B86)+COUNTBLANK(D86:E86)+COUNTBLANK(G86:G86)+COUNTBLANK(O86:AJ86)&gt;0,"Faltan "&amp;(COUNTBLANK(B86:B86)+COUNTBLANK(D86:E86)+COUNTBLANK(G86:G86)+COUNTBLANK(O86:AJ86))&amp;" datos obligatorios",IF(NOT(ISNUMBER(B86)),"Fecha no válida",IF(N(B86)&gt;TODAY(),"Fecha futura",IF(IFERROR(VLOOKUP(E86,LISTAS!$A$2:$C$65,3,FALSE),"")&lt;&gt;D86,"La subregión no corresponde al municipio",IF(IF(L86="",FALSE,OR(L86&lt;0,L86&gt;110)),"Edad fuera de rango",IF((V86="Sí")+(W86="Sí")+(X86="Sí")+(Y86="Sí")=0,"Marque al menos un tipo de violencia","OK")))))))</f>
        <v/>
      </c>
    </row>
    <row r="87">
      <c r="A87" s="12">
        <f>IF(OR(F87="",F87="Revisar",C87=""),"",F87&amp;"-"&amp;C87&amp;"-"&amp;TEXT(COUNTIFS($F$2:F87,F87,$C$2:C87,C87),"0000"))</f>
        <v/>
      </c>
      <c r="B87" s="13" t="n"/>
      <c r="C87" s="12">
        <f>IF(ISNUMBER(B87),YEAR(B87),"")</f>
        <v/>
      </c>
      <c r="D87" s="14" t="n"/>
      <c r="E87" s="14" t="n"/>
      <c r="F87" s="12">
        <f>IF(E87="","",IFERROR(VLOOKUP(E87,LISTAS!$A$2:$C$65,2,FALSE),"Revisar"))</f>
        <v/>
      </c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2">
        <f>IF(COUNTA(B87:B87)+COUNTA(D87:E87)+COUNTA(G87:AJ87)=0,"",IF(COUNTBLANK(B87:B87)+COUNTBLANK(D87:E87)+COUNTBLANK(G87:G87)+COUNTBLANK(O87:AJ87)&gt;0,"Faltan "&amp;(COUNTBLANK(B87:B87)+COUNTBLANK(D87:E87)+COUNTBLANK(G87:G87)+COUNTBLANK(O87:AJ87))&amp;" datos obligatorios",IF(NOT(ISNUMBER(B87)),"Fecha no válida",IF(N(B87)&gt;TODAY(),"Fecha futura",IF(IFERROR(VLOOKUP(E87,LISTAS!$A$2:$C$65,3,FALSE),"")&lt;&gt;D87,"La subregión no corresponde al municipio",IF(IF(L87="",FALSE,OR(L87&lt;0,L87&gt;110)),"Edad fuera de rango",IF((V87="Sí")+(W87="Sí")+(X87="Sí")+(Y87="Sí")=0,"Marque al menos un tipo de violencia","OK")))))))</f>
        <v/>
      </c>
    </row>
    <row r="88">
      <c r="A88" s="12">
        <f>IF(OR(F88="",F88="Revisar",C88=""),"",F88&amp;"-"&amp;C88&amp;"-"&amp;TEXT(COUNTIFS($F$2:F88,F88,$C$2:C88,C88),"0000"))</f>
        <v/>
      </c>
      <c r="B88" s="13" t="n"/>
      <c r="C88" s="12">
        <f>IF(ISNUMBER(B88),YEAR(B88),"")</f>
        <v/>
      </c>
      <c r="D88" s="14" t="n"/>
      <c r="E88" s="14" t="n"/>
      <c r="F88" s="12">
        <f>IF(E88="","",IFERROR(VLOOKUP(E88,LISTAS!$A$2:$C$65,2,FALSE),"Revisar"))</f>
        <v/>
      </c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2">
        <f>IF(COUNTA(B88:B88)+COUNTA(D88:E88)+COUNTA(G88:AJ88)=0,"",IF(COUNTBLANK(B88:B88)+COUNTBLANK(D88:E88)+COUNTBLANK(G88:G88)+COUNTBLANK(O88:AJ88)&gt;0,"Faltan "&amp;(COUNTBLANK(B88:B88)+COUNTBLANK(D88:E88)+COUNTBLANK(G88:G88)+COUNTBLANK(O88:AJ88))&amp;" datos obligatorios",IF(NOT(ISNUMBER(B88)),"Fecha no válida",IF(N(B88)&gt;TODAY(),"Fecha futura",IF(IFERROR(VLOOKUP(E88,LISTAS!$A$2:$C$65,3,FALSE),"")&lt;&gt;D88,"La subregión no corresponde al municipio",IF(IF(L88="",FALSE,OR(L88&lt;0,L88&gt;110)),"Edad fuera de rango",IF((V88="Sí")+(W88="Sí")+(X88="Sí")+(Y88="Sí")=0,"Marque al menos un tipo de violencia","OK")))))))</f>
        <v/>
      </c>
    </row>
    <row r="89">
      <c r="A89" s="12">
        <f>IF(OR(F89="",F89="Revisar",C89=""),"",F89&amp;"-"&amp;C89&amp;"-"&amp;TEXT(COUNTIFS($F$2:F89,F89,$C$2:C89,C89),"0000"))</f>
        <v/>
      </c>
      <c r="B89" s="13" t="n"/>
      <c r="C89" s="12">
        <f>IF(ISNUMBER(B89),YEAR(B89),"")</f>
        <v/>
      </c>
      <c r="D89" s="14" t="n"/>
      <c r="E89" s="14" t="n"/>
      <c r="F89" s="12">
        <f>IF(E89="","",IFERROR(VLOOKUP(E89,LISTAS!$A$2:$C$65,2,FALSE),"Revisar"))</f>
        <v/>
      </c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2">
        <f>IF(COUNTA(B89:B89)+COUNTA(D89:E89)+COUNTA(G89:AJ89)=0,"",IF(COUNTBLANK(B89:B89)+COUNTBLANK(D89:E89)+COUNTBLANK(G89:G89)+COUNTBLANK(O89:AJ89)&gt;0,"Faltan "&amp;(COUNTBLANK(B89:B89)+COUNTBLANK(D89:E89)+COUNTBLANK(G89:G89)+COUNTBLANK(O89:AJ89))&amp;" datos obligatorios",IF(NOT(ISNUMBER(B89)),"Fecha no válida",IF(N(B89)&gt;TODAY(),"Fecha futura",IF(IFERROR(VLOOKUP(E89,LISTAS!$A$2:$C$65,3,FALSE),"")&lt;&gt;D89,"La subregión no corresponde al municipio",IF(IF(L89="",FALSE,OR(L89&lt;0,L89&gt;110)),"Edad fuera de rango",IF((V89="Sí")+(W89="Sí")+(X89="Sí")+(Y89="Sí")=0,"Marque al menos un tipo de violencia","OK")))))))</f>
        <v/>
      </c>
    </row>
    <row r="90">
      <c r="A90" s="12">
        <f>IF(OR(F90="",F90="Revisar",C90=""),"",F90&amp;"-"&amp;C90&amp;"-"&amp;TEXT(COUNTIFS($F$2:F90,F90,$C$2:C90,C90),"0000"))</f>
        <v/>
      </c>
      <c r="B90" s="13" t="n"/>
      <c r="C90" s="12">
        <f>IF(ISNUMBER(B90),YEAR(B90),"")</f>
        <v/>
      </c>
      <c r="D90" s="14" t="n"/>
      <c r="E90" s="14" t="n"/>
      <c r="F90" s="12">
        <f>IF(E90="","",IFERROR(VLOOKUP(E90,LISTAS!$A$2:$C$65,2,FALSE),"Revisar"))</f>
        <v/>
      </c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2">
        <f>IF(COUNTA(B90:B90)+COUNTA(D90:E90)+COUNTA(G90:AJ90)=0,"",IF(COUNTBLANK(B90:B90)+COUNTBLANK(D90:E90)+COUNTBLANK(G90:G90)+COUNTBLANK(O90:AJ90)&gt;0,"Faltan "&amp;(COUNTBLANK(B90:B90)+COUNTBLANK(D90:E90)+COUNTBLANK(G90:G90)+COUNTBLANK(O90:AJ90))&amp;" datos obligatorios",IF(NOT(ISNUMBER(B90)),"Fecha no válida",IF(N(B90)&gt;TODAY(),"Fecha futura",IF(IFERROR(VLOOKUP(E90,LISTAS!$A$2:$C$65,3,FALSE),"")&lt;&gt;D90,"La subregión no corresponde al municipio",IF(IF(L90="",FALSE,OR(L90&lt;0,L90&gt;110)),"Edad fuera de rango",IF((V90="Sí")+(W90="Sí")+(X90="Sí")+(Y90="Sí")=0,"Marque al menos un tipo de violencia","OK")))))))</f>
        <v/>
      </c>
    </row>
    <row r="91">
      <c r="A91" s="12">
        <f>IF(OR(F91="",F91="Revisar",C91=""),"",F91&amp;"-"&amp;C91&amp;"-"&amp;TEXT(COUNTIFS($F$2:F91,F91,$C$2:C91,C91),"0000"))</f>
        <v/>
      </c>
      <c r="B91" s="13" t="n"/>
      <c r="C91" s="12">
        <f>IF(ISNUMBER(B91),YEAR(B91),"")</f>
        <v/>
      </c>
      <c r="D91" s="14" t="n"/>
      <c r="E91" s="14" t="n"/>
      <c r="F91" s="12">
        <f>IF(E91="","",IFERROR(VLOOKUP(E91,LISTAS!$A$2:$C$65,2,FALSE),"Revisar"))</f>
        <v/>
      </c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2">
        <f>IF(COUNTA(B91:B91)+COUNTA(D91:E91)+COUNTA(G91:AJ91)=0,"",IF(COUNTBLANK(B91:B91)+COUNTBLANK(D91:E91)+COUNTBLANK(G91:G91)+COUNTBLANK(O91:AJ91)&gt;0,"Faltan "&amp;(COUNTBLANK(B91:B91)+COUNTBLANK(D91:E91)+COUNTBLANK(G91:G91)+COUNTBLANK(O91:AJ91))&amp;" datos obligatorios",IF(NOT(ISNUMBER(B91)),"Fecha no válida",IF(N(B91)&gt;TODAY(),"Fecha futura",IF(IFERROR(VLOOKUP(E91,LISTAS!$A$2:$C$65,3,FALSE),"")&lt;&gt;D91,"La subregión no corresponde al municipio",IF(IF(L91="",FALSE,OR(L91&lt;0,L91&gt;110)),"Edad fuera de rango",IF((V91="Sí")+(W91="Sí")+(X91="Sí")+(Y91="Sí")=0,"Marque al menos un tipo de violencia","OK")))))))</f>
        <v/>
      </c>
    </row>
    <row r="92">
      <c r="A92" s="12">
        <f>IF(OR(F92="",F92="Revisar",C92=""),"",F92&amp;"-"&amp;C92&amp;"-"&amp;TEXT(COUNTIFS($F$2:F92,F92,$C$2:C92,C92),"0000"))</f>
        <v/>
      </c>
      <c r="B92" s="13" t="n"/>
      <c r="C92" s="12">
        <f>IF(ISNUMBER(B92),YEAR(B92),"")</f>
        <v/>
      </c>
      <c r="D92" s="14" t="n"/>
      <c r="E92" s="14" t="n"/>
      <c r="F92" s="12">
        <f>IF(E92="","",IFERROR(VLOOKUP(E92,LISTAS!$A$2:$C$65,2,FALSE),"Revisar"))</f>
        <v/>
      </c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2">
        <f>IF(COUNTA(B92:B92)+COUNTA(D92:E92)+COUNTA(G92:AJ92)=0,"",IF(COUNTBLANK(B92:B92)+COUNTBLANK(D92:E92)+COUNTBLANK(G92:G92)+COUNTBLANK(O92:AJ92)&gt;0,"Faltan "&amp;(COUNTBLANK(B92:B92)+COUNTBLANK(D92:E92)+COUNTBLANK(G92:G92)+COUNTBLANK(O92:AJ92))&amp;" datos obligatorios",IF(NOT(ISNUMBER(B92)),"Fecha no válida",IF(N(B92)&gt;TODAY(),"Fecha futura",IF(IFERROR(VLOOKUP(E92,LISTAS!$A$2:$C$65,3,FALSE),"")&lt;&gt;D92,"La subregión no corresponde al municipio",IF(IF(L92="",FALSE,OR(L92&lt;0,L92&gt;110)),"Edad fuera de rango",IF((V92="Sí")+(W92="Sí")+(X92="Sí")+(Y92="Sí")=0,"Marque al menos un tipo de violencia","OK")))))))</f>
        <v/>
      </c>
    </row>
    <row r="93">
      <c r="A93" s="12">
        <f>IF(OR(F93="",F93="Revisar",C93=""),"",F93&amp;"-"&amp;C93&amp;"-"&amp;TEXT(COUNTIFS($F$2:F93,F93,$C$2:C93,C93),"0000"))</f>
        <v/>
      </c>
      <c r="B93" s="13" t="n"/>
      <c r="C93" s="12">
        <f>IF(ISNUMBER(B93),YEAR(B93),"")</f>
        <v/>
      </c>
      <c r="D93" s="14" t="n"/>
      <c r="E93" s="14" t="n"/>
      <c r="F93" s="12">
        <f>IF(E93="","",IFERROR(VLOOKUP(E93,LISTAS!$A$2:$C$65,2,FALSE),"Revisar"))</f>
        <v/>
      </c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2">
        <f>IF(COUNTA(B93:B93)+COUNTA(D93:E93)+COUNTA(G93:AJ93)=0,"",IF(COUNTBLANK(B93:B93)+COUNTBLANK(D93:E93)+COUNTBLANK(G93:G93)+COUNTBLANK(O93:AJ93)&gt;0,"Faltan "&amp;(COUNTBLANK(B93:B93)+COUNTBLANK(D93:E93)+COUNTBLANK(G93:G93)+COUNTBLANK(O93:AJ93))&amp;" datos obligatorios",IF(NOT(ISNUMBER(B93)),"Fecha no válida",IF(N(B93)&gt;TODAY(),"Fecha futura",IF(IFERROR(VLOOKUP(E93,LISTAS!$A$2:$C$65,3,FALSE),"")&lt;&gt;D93,"La subregión no corresponde al municipio",IF(IF(L93="",FALSE,OR(L93&lt;0,L93&gt;110)),"Edad fuera de rango",IF((V93="Sí")+(W93="Sí")+(X93="Sí")+(Y93="Sí")=0,"Marque al menos un tipo de violencia","OK")))))))</f>
        <v/>
      </c>
    </row>
    <row r="94">
      <c r="A94" s="12">
        <f>IF(OR(F94="",F94="Revisar",C94=""),"",F94&amp;"-"&amp;C94&amp;"-"&amp;TEXT(COUNTIFS($F$2:F94,F94,$C$2:C94,C94),"0000"))</f>
        <v/>
      </c>
      <c r="B94" s="13" t="n"/>
      <c r="C94" s="12">
        <f>IF(ISNUMBER(B94),YEAR(B94),"")</f>
        <v/>
      </c>
      <c r="D94" s="14" t="n"/>
      <c r="E94" s="14" t="n"/>
      <c r="F94" s="12">
        <f>IF(E94="","",IFERROR(VLOOKUP(E94,LISTAS!$A$2:$C$65,2,FALSE),"Revisar"))</f>
        <v/>
      </c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2">
        <f>IF(COUNTA(B94:B94)+COUNTA(D94:E94)+COUNTA(G94:AJ94)=0,"",IF(COUNTBLANK(B94:B94)+COUNTBLANK(D94:E94)+COUNTBLANK(G94:G94)+COUNTBLANK(O94:AJ94)&gt;0,"Faltan "&amp;(COUNTBLANK(B94:B94)+COUNTBLANK(D94:E94)+COUNTBLANK(G94:G94)+COUNTBLANK(O94:AJ94))&amp;" datos obligatorios",IF(NOT(ISNUMBER(B94)),"Fecha no válida",IF(N(B94)&gt;TODAY(),"Fecha futura",IF(IFERROR(VLOOKUP(E94,LISTAS!$A$2:$C$65,3,FALSE),"")&lt;&gt;D94,"La subregión no corresponde al municipio",IF(IF(L94="",FALSE,OR(L94&lt;0,L94&gt;110)),"Edad fuera de rango",IF((V94="Sí")+(W94="Sí")+(X94="Sí")+(Y94="Sí")=0,"Marque al menos un tipo de violencia","OK")))))))</f>
        <v/>
      </c>
    </row>
    <row r="95">
      <c r="A95" s="12">
        <f>IF(OR(F95="",F95="Revisar",C95=""),"",F95&amp;"-"&amp;C95&amp;"-"&amp;TEXT(COUNTIFS($F$2:F95,F95,$C$2:C95,C95),"0000"))</f>
        <v/>
      </c>
      <c r="B95" s="13" t="n"/>
      <c r="C95" s="12">
        <f>IF(ISNUMBER(B95),YEAR(B95),"")</f>
        <v/>
      </c>
      <c r="D95" s="14" t="n"/>
      <c r="E95" s="14" t="n"/>
      <c r="F95" s="12">
        <f>IF(E95="","",IFERROR(VLOOKUP(E95,LISTAS!$A$2:$C$65,2,FALSE),"Revisar"))</f>
        <v/>
      </c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2">
        <f>IF(COUNTA(B95:B95)+COUNTA(D95:E95)+COUNTA(G95:AJ95)=0,"",IF(COUNTBLANK(B95:B95)+COUNTBLANK(D95:E95)+COUNTBLANK(G95:G95)+COUNTBLANK(O95:AJ95)&gt;0,"Faltan "&amp;(COUNTBLANK(B95:B95)+COUNTBLANK(D95:E95)+COUNTBLANK(G95:G95)+COUNTBLANK(O95:AJ95))&amp;" datos obligatorios",IF(NOT(ISNUMBER(B95)),"Fecha no válida",IF(N(B95)&gt;TODAY(),"Fecha futura",IF(IFERROR(VLOOKUP(E95,LISTAS!$A$2:$C$65,3,FALSE),"")&lt;&gt;D95,"La subregión no corresponde al municipio",IF(IF(L95="",FALSE,OR(L95&lt;0,L95&gt;110)),"Edad fuera de rango",IF((V95="Sí")+(W95="Sí")+(X95="Sí")+(Y95="Sí")=0,"Marque al menos un tipo de violencia","OK")))))))</f>
        <v/>
      </c>
    </row>
    <row r="96">
      <c r="A96" s="12">
        <f>IF(OR(F96="",F96="Revisar",C96=""),"",F96&amp;"-"&amp;C96&amp;"-"&amp;TEXT(COUNTIFS($F$2:F96,F96,$C$2:C96,C96),"0000"))</f>
        <v/>
      </c>
      <c r="B96" s="13" t="n"/>
      <c r="C96" s="12">
        <f>IF(ISNUMBER(B96),YEAR(B96),"")</f>
        <v/>
      </c>
      <c r="D96" s="14" t="n"/>
      <c r="E96" s="14" t="n"/>
      <c r="F96" s="12">
        <f>IF(E96="","",IFERROR(VLOOKUP(E96,LISTAS!$A$2:$C$65,2,FALSE),"Revisar"))</f>
        <v/>
      </c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2">
        <f>IF(COUNTA(B96:B96)+COUNTA(D96:E96)+COUNTA(G96:AJ96)=0,"",IF(COUNTBLANK(B96:B96)+COUNTBLANK(D96:E96)+COUNTBLANK(G96:G96)+COUNTBLANK(O96:AJ96)&gt;0,"Faltan "&amp;(COUNTBLANK(B96:B96)+COUNTBLANK(D96:E96)+COUNTBLANK(G96:G96)+COUNTBLANK(O96:AJ96))&amp;" datos obligatorios",IF(NOT(ISNUMBER(B96)),"Fecha no válida",IF(N(B96)&gt;TODAY(),"Fecha futura",IF(IFERROR(VLOOKUP(E96,LISTAS!$A$2:$C$65,3,FALSE),"")&lt;&gt;D96,"La subregión no corresponde al municipio",IF(IF(L96="",FALSE,OR(L96&lt;0,L96&gt;110)),"Edad fuera de rango",IF((V96="Sí")+(W96="Sí")+(X96="Sí")+(Y96="Sí")=0,"Marque al menos un tipo de violencia","OK")))))))</f>
        <v/>
      </c>
    </row>
    <row r="97">
      <c r="A97" s="12">
        <f>IF(OR(F97="",F97="Revisar",C97=""),"",F97&amp;"-"&amp;C97&amp;"-"&amp;TEXT(COUNTIFS($F$2:F97,F97,$C$2:C97,C97),"0000"))</f>
        <v/>
      </c>
      <c r="B97" s="13" t="n"/>
      <c r="C97" s="12">
        <f>IF(ISNUMBER(B97),YEAR(B97),"")</f>
        <v/>
      </c>
      <c r="D97" s="14" t="n"/>
      <c r="E97" s="14" t="n"/>
      <c r="F97" s="12">
        <f>IF(E97="","",IFERROR(VLOOKUP(E97,LISTAS!$A$2:$C$65,2,FALSE),"Revisar"))</f>
        <v/>
      </c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2">
        <f>IF(COUNTA(B97:B97)+COUNTA(D97:E97)+COUNTA(G97:AJ97)=0,"",IF(COUNTBLANK(B97:B97)+COUNTBLANK(D97:E97)+COUNTBLANK(G97:G97)+COUNTBLANK(O97:AJ97)&gt;0,"Faltan "&amp;(COUNTBLANK(B97:B97)+COUNTBLANK(D97:E97)+COUNTBLANK(G97:G97)+COUNTBLANK(O97:AJ97))&amp;" datos obligatorios",IF(NOT(ISNUMBER(B97)),"Fecha no válida",IF(N(B97)&gt;TODAY(),"Fecha futura",IF(IFERROR(VLOOKUP(E97,LISTAS!$A$2:$C$65,3,FALSE),"")&lt;&gt;D97,"La subregión no corresponde al municipio",IF(IF(L97="",FALSE,OR(L97&lt;0,L97&gt;110)),"Edad fuera de rango",IF((V97="Sí")+(W97="Sí")+(X97="Sí")+(Y97="Sí")=0,"Marque al menos un tipo de violencia","OK")))))))</f>
        <v/>
      </c>
    </row>
    <row r="98">
      <c r="A98" s="12">
        <f>IF(OR(F98="",F98="Revisar",C98=""),"",F98&amp;"-"&amp;C98&amp;"-"&amp;TEXT(COUNTIFS($F$2:F98,F98,$C$2:C98,C98),"0000"))</f>
        <v/>
      </c>
      <c r="B98" s="13" t="n"/>
      <c r="C98" s="12">
        <f>IF(ISNUMBER(B98),YEAR(B98),"")</f>
        <v/>
      </c>
      <c r="D98" s="14" t="n"/>
      <c r="E98" s="14" t="n"/>
      <c r="F98" s="12">
        <f>IF(E98="","",IFERROR(VLOOKUP(E98,LISTAS!$A$2:$C$65,2,FALSE),"Revisar"))</f>
        <v/>
      </c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2">
        <f>IF(COUNTA(B98:B98)+COUNTA(D98:E98)+COUNTA(G98:AJ98)=0,"",IF(COUNTBLANK(B98:B98)+COUNTBLANK(D98:E98)+COUNTBLANK(G98:G98)+COUNTBLANK(O98:AJ98)&gt;0,"Faltan "&amp;(COUNTBLANK(B98:B98)+COUNTBLANK(D98:E98)+COUNTBLANK(G98:G98)+COUNTBLANK(O98:AJ98))&amp;" datos obligatorios",IF(NOT(ISNUMBER(B98)),"Fecha no válida",IF(N(B98)&gt;TODAY(),"Fecha futura",IF(IFERROR(VLOOKUP(E98,LISTAS!$A$2:$C$65,3,FALSE),"")&lt;&gt;D98,"La subregión no corresponde al municipio",IF(IF(L98="",FALSE,OR(L98&lt;0,L98&gt;110)),"Edad fuera de rango",IF((V98="Sí")+(W98="Sí")+(X98="Sí")+(Y98="Sí")=0,"Marque al menos un tipo de violencia","OK")))))))</f>
        <v/>
      </c>
    </row>
    <row r="99">
      <c r="A99" s="12">
        <f>IF(OR(F99="",F99="Revisar",C99=""),"",F99&amp;"-"&amp;C99&amp;"-"&amp;TEXT(COUNTIFS($F$2:F99,F99,$C$2:C99,C99),"0000"))</f>
        <v/>
      </c>
      <c r="B99" s="13" t="n"/>
      <c r="C99" s="12">
        <f>IF(ISNUMBER(B99),YEAR(B99),"")</f>
        <v/>
      </c>
      <c r="D99" s="14" t="n"/>
      <c r="E99" s="14" t="n"/>
      <c r="F99" s="12">
        <f>IF(E99="","",IFERROR(VLOOKUP(E99,LISTAS!$A$2:$C$65,2,FALSE),"Revisar"))</f>
        <v/>
      </c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2">
        <f>IF(COUNTA(B99:B99)+COUNTA(D99:E99)+COUNTA(G99:AJ99)=0,"",IF(COUNTBLANK(B99:B99)+COUNTBLANK(D99:E99)+COUNTBLANK(G99:G99)+COUNTBLANK(O99:AJ99)&gt;0,"Faltan "&amp;(COUNTBLANK(B99:B99)+COUNTBLANK(D99:E99)+COUNTBLANK(G99:G99)+COUNTBLANK(O99:AJ99))&amp;" datos obligatorios",IF(NOT(ISNUMBER(B99)),"Fecha no válida",IF(N(B99)&gt;TODAY(),"Fecha futura",IF(IFERROR(VLOOKUP(E99,LISTAS!$A$2:$C$65,3,FALSE),"")&lt;&gt;D99,"La subregión no corresponde al municipio",IF(IF(L99="",FALSE,OR(L99&lt;0,L99&gt;110)),"Edad fuera de rango",IF((V99="Sí")+(W99="Sí")+(X99="Sí")+(Y99="Sí")=0,"Marque al menos un tipo de violencia","OK")))))))</f>
        <v/>
      </c>
    </row>
    <row r="100">
      <c r="A100" s="12">
        <f>IF(OR(F100="",F100="Revisar",C100=""),"",F100&amp;"-"&amp;C100&amp;"-"&amp;TEXT(COUNTIFS($F$2:F100,F100,$C$2:C100,C100),"0000"))</f>
        <v/>
      </c>
      <c r="B100" s="13" t="n"/>
      <c r="C100" s="12">
        <f>IF(ISNUMBER(B100),YEAR(B100),"")</f>
        <v/>
      </c>
      <c r="D100" s="14" t="n"/>
      <c r="E100" s="14" t="n"/>
      <c r="F100" s="12">
        <f>IF(E100="","",IFERROR(VLOOKUP(E100,LISTAS!$A$2:$C$65,2,FALSE),"Revisar"))</f>
        <v/>
      </c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2">
        <f>IF(COUNTA(B100:B100)+COUNTA(D100:E100)+COUNTA(G100:AJ100)=0,"",IF(COUNTBLANK(B100:B100)+COUNTBLANK(D100:E100)+COUNTBLANK(G100:G100)+COUNTBLANK(O100:AJ100)&gt;0,"Faltan "&amp;(COUNTBLANK(B100:B100)+COUNTBLANK(D100:E100)+COUNTBLANK(G100:G100)+COUNTBLANK(O100:AJ100))&amp;" datos obligatorios",IF(NOT(ISNUMBER(B100)),"Fecha no válida",IF(N(B100)&gt;TODAY(),"Fecha futura",IF(IFERROR(VLOOKUP(E100,LISTAS!$A$2:$C$65,3,FALSE),"")&lt;&gt;D100,"La subregión no corresponde al municipio",IF(IF(L100="",FALSE,OR(L100&lt;0,L100&gt;110)),"Edad fuera de rango",IF((V100="Sí")+(W100="Sí")+(X100="Sí")+(Y100="Sí")=0,"Marque al menos un tipo de violencia","OK")))))))</f>
        <v/>
      </c>
    </row>
    <row r="101">
      <c r="A101" s="12">
        <f>IF(OR(F101="",F101="Revisar",C101=""),"",F101&amp;"-"&amp;C101&amp;"-"&amp;TEXT(COUNTIFS($F$2:F101,F101,$C$2:C101,C101),"0000"))</f>
        <v/>
      </c>
      <c r="B101" s="13" t="n"/>
      <c r="C101" s="12">
        <f>IF(ISNUMBER(B101),YEAR(B101),"")</f>
        <v/>
      </c>
      <c r="D101" s="14" t="n"/>
      <c r="E101" s="14" t="n"/>
      <c r="F101" s="12">
        <f>IF(E101="","",IFERROR(VLOOKUP(E101,LISTAS!$A$2:$C$65,2,FALSE),"Revisar"))</f>
        <v/>
      </c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2">
        <f>IF(COUNTA(B101:B101)+COUNTA(D101:E101)+COUNTA(G101:AJ101)=0,"",IF(COUNTBLANK(B101:B101)+COUNTBLANK(D101:E101)+COUNTBLANK(G101:G101)+COUNTBLANK(O101:AJ101)&gt;0,"Faltan "&amp;(COUNTBLANK(B101:B101)+COUNTBLANK(D101:E101)+COUNTBLANK(G101:G101)+COUNTBLANK(O101:AJ101))&amp;" datos obligatorios",IF(NOT(ISNUMBER(B101)),"Fecha no válida",IF(N(B101)&gt;TODAY(),"Fecha futura",IF(IFERROR(VLOOKUP(E101,LISTAS!$A$2:$C$65,3,FALSE),"")&lt;&gt;D101,"La subregión no corresponde al municipio",IF(IF(L101="",FALSE,OR(L101&lt;0,L101&gt;110)),"Edad fuera de rango",IF((V101="Sí")+(W101="Sí")+(X101="Sí")+(Y101="Sí")=0,"Marque al menos un tipo de violencia","OK")))))))</f>
        <v/>
      </c>
    </row>
    <row r="102">
      <c r="A102" s="12">
        <f>IF(OR(F102="",F102="Revisar",C102=""),"",F102&amp;"-"&amp;C102&amp;"-"&amp;TEXT(COUNTIFS($F$2:F102,F102,$C$2:C102,C102),"0000"))</f>
        <v/>
      </c>
      <c r="B102" s="13" t="n"/>
      <c r="C102" s="12">
        <f>IF(ISNUMBER(B102),YEAR(B102),"")</f>
        <v/>
      </c>
      <c r="D102" s="14" t="n"/>
      <c r="E102" s="14" t="n"/>
      <c r="F102" s="12">
        <f>IF(E102="","",IFERROR(VLOOKUP(E102,LISTAS!$A$2:$C$65,2,FALSE),"Revisar"))</f>
        <v/>
      </c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2">
        <f>IF(COUNTA(B102:B102)+COUNTA(D102:E102)+COUNTA(G102:AJ102)=0,"",IF(COUNTBLANK(B102:B102)+COUNTBLANK(D102:E102)+COUNTBLANK(G102:G102)+COUNTBLANK(O102:AJ102)&gt;0,"Faltan "&amp;(COUNTBLANK(B102:B102)+COUNTBLANK(D102:E102)+COUNTBLANK(G102:G102)+COUNTBLANK(O102:AJ102))&amp;" datos obligatorios",IF(NOT(ISNUMBER(B102)),"Fecha no válida",IF(N(B102)&gt;TODAY(),"Fecha futura",IF(IFERROR(VLOOKUP(E102,LISTAS!$A$2:$C$65,3,FALSE),"")&lt;&gt;D102,"La subregión no corresponde al municipio",IF(IF(L102="",FALSE,OR(L102&lt;0,L102&gt;110)),"Edad fuera de rango",IF((V102="Sí")+(W102="Sí")+(X102="Sí")+(Y102="Sí")=0,"Marque al menos un tipo de violencia","OK")))))))</f>
        <v/>
      </c>
    </row>
    <row r="103">
      <c r="A103" s="12">
        <f>IF(OR(F103="",F103="Revisar",C103=""),"",F103&amp;"-"&amp;C103&amp;"-"&amp;TEXT(COUNTIFS($F$2:F103,F103,$C$2:C103,C103),"0000"))</f>
        <v/>
      </c>
      <c r="B103" s="13" t="n"/>
      <c r="C103" s="12">
        <f>IF(ISNUMBER(B103),YEAR(B103),"")</f>
        <v/>
      </c>
      <c r="D103" s="14" t="n"/>
      <c r="E103" s="14" t="n"/>
      <c r="F103" s="12">
        <f>IF(E103="","",IFERROR(VLOOKUP(E103,LISTAS!$A$2:$C$65,2,FALSE),"Revisar"))</f>
        <v/>
      </c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2">
        <f>IF(COUNTA(B103:B103)+COUNTA(D103:E103)+COUNTA(G103:AJ103)=0,"",IF(COUNTBLANK(B103:B103)+COUNTBLANK(D103:E103)+COUNTBLANK(G103:G103)+COUNTBLANK(O103:AJ103)&gt;0,"Faltan "&amp;(COUNTBLANK(B103:B103)+COUNTBLANK(D103:E103)+COUNTBLANK(G103:G103)+COUNTBLANK(O103:AJ103))&amp;" datos obligatorios",IF(NOT(ISNUMBER(B103)),"Fecha no válida",IF(N(B103)&gt;TODAY(),"Fecha futura",IF(IFERROR(VLOOKUP(E103,LISTAS!$A$2:$C$65,3,FALSE),"")&lt;&gt;D103,"La subregión no corresponde al municipio",IF(IF(L103="",FALSE,OR(L103&lt;0,L103&gt;110)),"Edad fuera de rango",IF((V103="Sí")+(W103="Sí")+(X103="Sí")+(Y103="Sí")=0,"Marque al menos un tipo de violencia","OK")))))))</f>
        <v/>
      </c>
    </row>
    <row r="104">
      <c r="A104" s="12">
        <f>IF(OR(F104="",F104="Revisar",C104=""),"",F104&amp;"-"&amp;C104&amp;"-"&amp;TEXT(COUNTIFS($F$2:F104,F104,$C$2:C104,C104),"0000"))</f>
        <v/>
      </c>
      <c r="B104" s="13" t="n"/>
      <c r="C104" s="12">
        <f>IF(ISNUMBER(B104),YEAR(B104),"")</f>
        <v/>
      </c>
      <c r="D104" s="14" t="n"/>
      <c r="E104" s="14" t="n"/>
      <c r="F104" s="12">
        <f>IF(E104="","",IFERROR(VLOOKUP(E104,LISTAS!$A$2:$C$65,2,FALSE),"Revisar"))</f>
        <v/>
      </c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2">
        <f>IF(COUNTA(B104:B104)+COUNTA(D104:E104)+COUNTA(G104:AJ104)=0,"",IF(COUNTBLANK(B104:B104)+COUNTBLANK(D104:E104)+COUNTBLANK(G104:G104)+COUNTBLANK(O104:AJ104)&gt;0,"Faltan "&amp;(COUNTBLANK(B104:B104)+COUNTBLANK(D104:E104)+COUNTBLANK(G104:G104)+COUNTBLANK(O104:AJ104))&amp;" datos obligatorios",IF(NOT(ISNUMBER(B104)),"Fecha no válida",IF(N(B104)&gt;TODAY(),"Fecha futura",IF(IFERROR(VLOOKUP(E104,LISTAS!$A$2:$C$65,3,FALSE),"")&lt;&gt;D104,"La subregión no corresponde al municipio",IF(IF(L104="",FALSE,OR(L104&lt;0,L104&gt;110)),"Edad fuera de rango",IF((V104="Sí")+(W104="Sí")+(X104="Sí")+(Y104="Sí")=0,"Marque al menos un tipo de violencia","OK")))))))</f>
        <v/>
      </c>
    </row>
    <row r="105">
      <c r="A105" s="12">
        <f>IF(OR(F105="",F105="Revisar",C105=""),"",F105&amp;"-"&amp;C105&amp;"-"&amp;TEXT(COUNTIFS($F$2:F105,F105,$C$2:C105,C105),"0000"))</f>
        <v/>
      </c>
      <c r="B105" s="13" t="n"/>
      <c r="C105" s="12">
        <f>IF(ISNUMBER(B105),YEAR(B105),"")</f>
        <v/>
      </c>
      <c r="D105" s="14" t="n"/>
      <c r="E105" s="14" t="n"/>
      <c r="F105" s="12">
        <f>IF(E105="","",IFERROR(VLOOKUP(E105,LISTAS!$A$2:$C$65,2,FALSE),"Revisar"))</f>
        <v/>
      </c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2">
        <f>IF(COUNTA(B105:B105)+COUNTA(D105:E105)+COUNTA(G105:AJ105)=0,"",IF(COUNTBLANK(B105:B105)+COUNTBLANK(D105:E105)+COUNTBLANK(G105:G105)+COUNTBLANK(O105:AJ105)&gt;0,"Faltan "&amp;(COUNTBLANK(B105:B105)+COUNTBLANK(D105:E105)+COUNTBLANK(G105:G105)+COUNTBLANK(O105:AJ105))&amp;" datos obligatorios",IF(NOT(ISNUMBER(B105)),"Fecha no válida",IF(N(B105)&gt;TODAY(),"Fecha futura",IF(IFERROR(VLOOKUP(E105,LISTAS!$A$2:$C$65,3,FALSE),"")&lt;&gt;D105,"La subregión no corresponde al municipio",IF(IF(L105="",FALSE,OR(L105&lt;0,L105&gt;110)),"Edad fuera de rango",IF((V105="Sí")+(W105="Sí")+(X105="Sí")+(Y105="Sí")=0,"Marque al menos un tipo de violencia","OK")))))))</f>
        <v/>
      </c>
    </row>
    <row r="106">
      <c r="A106" s="12">
        <f>IF(OR(F106="",F106="Revisar",C106=""),"",F106&amp;"-"&amp;C106&amp;"-"&amp;TEXT(COUNTIFS($F$2:F106,F106,$C$2:C106,C106),"0000"))</f>
        <v/>
      </c>
      <c r="B106" s="13" t="n"/>
      <c r="C106" s="12">
        <f>IF(ISNUMBER(B106),YEAR(B106),"")</f>
        <v/>
      </c>
      <c r="D106" s="14" t="n"/>
      <c r="E106" s="14" t="n"/>
      <c r="F106" s="12">
        <f>IF(E106="","",IFERROR(VLOOKUP(E106,LISTAS!$A$2:$C$65,2,FALSE),"Revisar"))</f>
        <v/>
      </c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2">
        <f>IF(COUNTA(B106:B106)+COUNTA(D106:E106)+COUNTA(G106:AJ106)=0,"",IF(COUNTBLANK(B106:B106)+COUNTBLANK(D106:E106)+COUNTBLANK(G106:G106)+COUNTBLANK(O106:AJ106)&gt;0,"Faltan "&amp;(COUNTBLANK(B106:B106)+COUNTBLANK(D106:E106)+COUNTBLANK(G106:G106)+COUNTBLANK(O106:AJ106))&amp;" datos obligatorios",IF(NOT(ISNUMBER(B106)),"Fecha no válida",IF(N(B106)&gt;TODAY(),"Fecha futura",IF(IFERROR(VLOOKUP(E106,LISTAS!$A$2:$C$65,3,FALSE),"")&lt;&gt;D106,"La subregión no corresponde al municipio",IF(IF(L106="",FALSE,OR(L106&lt;0,L106&gt;110)),"Edad fuera de rango",IF((V106="Sí")+(W106="Sí")+(X106="Sí")+(Y106="Sí")=0,"Marque al menos un tipo de violencia","OK")))))))</f>
        <v/>
      </c>
    </row>
    <row r="107">
      <c r="A107" s="12">
        <f>IF(OR(F107="",F107="Revisar",C107=""),"",F107&amp;"-"&amp;C107&amp;"-"&amp;TEXT(COUNTIFS($F$2:F107,F107,$C$2:C107,C107),"0000"))</f>
        <v/>
      </c>
      <c r="B107" s="13" t="n"/>
      <c r="C107" s="12">
        <f>IF(ISNUMBER(B107),YEAR(B107),"")</f>
        <v/>
      </c>
      <c r="D107" s="14" t="n"/>
      <c r="E107" s="14" t="n"/>
      <c r="F107" s="12">
        <f>IF(E107="","",IFERROR(VLOOKUP(E107,LISTAS!$A$2:$C$65,2,FALSE),"Revisar"))</f>
        <v/>
      </c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2">
        <f>IF(COUNTA(B107:B107)+COUNTA(D107:E107)+COUNTA(G107:AJ107)=0,"",IF(COUNTBLANK(B107:B107)+COUNTBLANK(D107:E107)+COUNTBLANK(G107:G107)+COUNTBLANK(O107:AJ107)&gt;0,"Faltan "&amp;(COUNTBLANK(B107:B107)+COUNTBLANK(D107:E107)+COUNTBLANK(G107:G107)+COUNTBLANK(O107:AJ107))&amp;" datos obligatorios",IF(NOT(ISNUMBER(B107)),"Fecha no válida",IF(N(B107)&gt;TODAY(),"Fecha futura",IF(IFERROR(VLOOKUP(E107,LISTAS!$A$2:$C$65,3,FALSE),"")&lt;&gt;D107,"La subregión no corresponde al municipio",IF(IF(L107="",FALSE,OR(L107&lt;0,L107&gt;110)),"Edad fuera de rango",IF((V107="Sí")+(W107="Sí")+(X107="Sí")+(Y107="Sí")=0,"Marque al menos un tipo de violencia","OK")))))))</f>
        <v/>
      </c>
    </row>
    <row r="108">
      <c r="A108" s="12">
        <f>IF(OR(F108="",F108="Revisar",C108=""),"",F108&amp;"-"&amp;C108&amp;"-"&amp;TEXT(COUNTIFS($F$2:F108,F108,$C$2:C108,C108),"0000"))</f>
        <v/>
      </c>
      <c r="B108" s="13" t="n"/>
      <c r="C108" s="12">
        <f>IF(ISNUMBER(B108),YEAR(B108),"")</f>
        <v/>
      </c>
      <c r="D108" s="14" t="n"/>
      <c r="E108" s="14" t="n"/>
      <c r="F108" s="12">
        <f>IF(E108="","",IFERROR(VLOOKUP(E108,LISTAS!$A$2:$C$65,2,FALSE),"Revisar"))</f>
        <v/>
      </c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2">
        <f>IF(COUNTA(B108:B108)+COUNTA(D108:E108)+COUNTA(G108:AJ108)=0,"",IF(COUNTBLANK(B108:B108)+COUNTBLANK(D108:E108)+COUNTBLANK(G108:G108)+COUNTBLANK(O108:AJ108)&gt;0,"Faltan "&amp;(COUNTBLANK(B108:B108)+COUNTBLANK(D108:E108)+COUNTBLANK(G108:G108)+COUNTBLANK(O108:AJ108))&amp;" datos obligatorios",IF(NOT(ISNUMBER(B108)),"Fecha no válida",IF(N(B108)&gt;TODAY(),"Fecha futura",IF(IFERROR(VLOOKUP(E108,LISTAS!$A$2:$C$65,3,FALSE),"")&lt;&gt;D108,"La subregión no corresponde al municipio",IF(IF(L108="",FALSE,OR(L108&lt;0,L108&gt;110)),"Edad fuera de rango",IF((V108="Sí")+(W108="Sí")+(X108="Sí")+(Y108="Sí")=0,"Marque al menos un tipo de violencia","OK")))))))</f>
        <v/>
      </c>
    </row>
    <row r="109">
      <c r="A109" s="12">
        <f>IF(OR(F109="",F109="Revisar",C109=""),"",F109&amp;"-"&amp;C109&amp;"-"&amp;TEXT(COUNTIFS($F$2:F109,F109,$C$2:C109,C109),"0000"))</f>
        <v/>
      </c>
      <c r="B109" s="13" t="n"/>
      <c r="C109" s="12">
        <f>IF(ISNUMBER(B109),YEAR(B109),"")</f>
        <v/>
      </c>
      <c r="D109" s="14" t="n"/>
      <c r="E109" s="14" t="n"/>
      <c r="F109" s="12">
        <f>IF(E109="","",IFERROR(VLOOKUP(E109,LISTAS!$A$2:$C$65,2,FALSE),"Revisar"))</f>
        <v/>
      </c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2">
        <f>IF(COUNTA(B109:B109)+COUNTA(D109:E109)+COUNTA(G109:AJ109)=0,"",IF(COUNTBLANK(B109:B109)+COUNTBLANK(D109:E109)+COUNTBLANK(G109:G109)+COUNTBLANK(O109:AJ109)&gt;0,"Faltan "&amp;(COUNTBLANK(B109:B109)+COUNTBLANK(D109:E109)+COUNTBLANK(G109:G109)+COUNTBLANK(O109:AJ109))&amp;" datos obligatorios",IF(NOT(ISNUMBER(B109)),"Fecha no válida",IF(N(B109)&gt;TODAY(),"Fecha futura",IF(IFERROR(VLOOKUP(E109,LISTAS!$A$2:$C$65,3,FALSE),"")&lt;&gt;D109,"La subregión no corresponde al municipio",IF(IF(L109="",FALSE,OR(L109&lt;0,L109&gt;110)),"Edad fuera de rango",IF((V109="Sí")+(W109="Sí")+(X109="Sí")+(Y109="Sí")=0,"Marque al menos un tipo de violencia","OK")))))))</f>
        <v/>
      </c>
    </row>
    <row r="110">
      <c r="A110" s="12">
        <f>IF(OR(F110="",F110="Revisar",C110=""),"",F110&amp;"-"&amp;C110&amp;"-"&amp;TEXT(COUNTIFS($F$2:F110,F110,$C$2:C110,C110),"0000"))</f>
        <v/>
      </c>
      <c r="B110" s="13" t="n"/>
      <c r="C110" s="12">
        <f>IF(ISNUMBER(B110),YEAR(B110),"")</f>
        <v/>
      </c>
      <c r="D110" s="14" t="n"/>
      <c r="E110" s="14" t="n"/>
      <c r="F110" s="12">
        <f>IF(E110="","",IFERROR(VLOOKUP(E110,LISTAS!$A$2:$C$65,2,FALSE),"Revisar"))</f>
        <v/>
      </c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2">
        <f>IF(COUNTA(B110:B110)+COUNTA(D110:E110)+COUNTA(G110:AJ110)=0,"",IF(COUNTBLANK(B110:B110)+COUNTBLANK(D110:E110)+COUNTBLANK(G110:G110)+COUNTBLANK(O110:AJ110)&gt;0,"Faltan "&amp;(COUNTBLANK(B110:B110)+COUNTBLANK(D110:E110)+COUNTBLANK(G110:G110)+COUNTBLANK(O110:AJ110))&amp;" datos obligatorios",IF(NOT(ISNUMBER(B110)),"Fecha no válida",IF(N(B110)&gt;TODAY(),"Fecha futura",IF(IFERROR(VLOOKUP(E110,LISTAS!$A$2:$C$65,3,FALSE),"")&lt;&gt;D110,"La subregión no corresponde al municipio",IF(IF(L110="",FALSE,OR(L110&lt;0,L110&gt;110)),"Edad fuera de rango",IF((V110="Sí")+(W110="Sí")+(X110="Sí")+(Y110="Sí")=0,"Marque al menos un tipo de violencia","OK")))))))</f>
        <v/>
      </c>
    </row>
    <row r="111">
      <c r="A111" s="12">
        <f>IF(OR(F111="",F111="Revisar",C111=""),"",F111&amp;"-"&amp;C111&amp;"-"&amp;TEXT(COUNTIFS($F$2:F111,F111,$C$2:C111,C111),"0000"))</f>
        <v/>
      </c>
      <c r="B111" s="13" t="n"/>
      <c r="C111" s="12">
        <f>IF(ISNUMBER(B111),YEAR(B111),"")</f>
        <v/>
      </c>
      <c r="D111" s="14" t="n"/>
      <c r="E111" s="14" t="n"/>
      <c r="F111" s="12">
        <f>IF(E111="","",IFERROR(VLOOKUP(E111,LISTAS!$A$2:$C$65,2,FALSE),"Revisar"))</f>
        <v/>
      </c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2">
        <f>IF(COUNTA(B111:B111)+COUNTA(D111:E111)+COUNTA(G111:AJ111)=0,"",IF(COUNTBLANK(B111:B111)+COUNTBLANK(D111:E111)+COUNTBLANK(G111:G111)+COUNTBLANK(O111:AJ111)&gt;0,"Faltan "&amp;(COUNTBLANK(B111:B111)+COUNTBLANK(D111:E111)+COUNTBLANK(G111:G111)+COUNTBLANK(O111:AJ111))&amp;" datos obligatorios",IF(NOT(ISNUMBER(B111)),"Fecha no válida",IF(N(B111)&gt;TODAY(),"Fecha futura",IF(IFERROR(VLOOKUP(E111,LISTAS!$A$2:$C$65,3,FALSE),"")&lt;&gt;D111,"La subregión no corresponde al municipio",IF(IF(L111="",FALSE,OR(L111&lt;0,L111&gt;110)),"Edad fuera de rango",IF((V111="Sí")+(W111="Sí")+(X111="Sí")+(Y111="Sí")=0,"Marque al menos un tipo de violencia","OK")))))))</f>
        <v/>
      </c>
    </row>
    <row r="112">
      <c r="A112" s="12">
        <f>IF(OR(F112="",F112="Revisar",C112=""),"",F112&amp;"-"&amp;C112&amp;"-"&amp;TEXT(COUNTIFS($F$2:F112,F112,$C$2:C112,C112),"0000"))</f>
        <v/>
      </c>
      <c r="B112" s="13" t="n"/>
      <c r="C112" s="12">
        <f>IF(ISNUMBER(B112),YEAR(B112),"")</f>
        <v/>
      </c>
      <c r="D112" s="14" t="n"/>
      <c r="E112" s="14" t="n"/>
      <c r="F112" s="12">
        <f>IF(E112="","",IFERROR(VLOOKUP(E112,LISTAS!$A$2:$C$65,2,FALSE),"Revisar"))</f>
        <v/>
      </c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2">
        <f>IF(COUNTA(B112:B112)+COUNTA(D112:E112)+COUNTA(G112:AJ112)=0,"",IF(COUNTBLANK(B112:B112)+COUNTBLANK(D112:E112)+COUNTBLANK(G112:G112)+COUNTBLANK(O112:AJ112)&gt;0,"Faltan "&amp;(COUNTBLANK(B112:B112)+COUNTBLANK(D112:E112)+COUNTBLANK(G112:G112)+COUNTBLANK(O112:AJ112))&amp;" datos obligatorios",IF(NOT(ISNUMBER(B112)),"Fecha no válida",IF(N(B112)&gt;TODAY(),"Fecha futura",IF(IFERROR(VLOOKUP(E112,LISTAS!$A$2:$C$65,3,FALSE),"")&lt;&gt;D112,"La subregión no corresponde al municipio",IF(IF(L112="",FALSE,OR(L112&lt;0,L112&gt;110)),"Edad fuera de rango",IF((V112="Sí")+(W112="Sí")+(X112="Sí")+(Y112="Sí")=0,"Marque al menos un tipo de violencia","OK")))))))</f>
        <v/>
      </c>
    </row>
    <row r="113">
      <c r="A113" s="12">
        <f>IF(OR(F113="",F113="Revisar",C113=""),"",F113&amp;"-"&amp;C113&amp;"-"&amp;TEXT(COUNTIFS($F$2:F113,F113,$C$2:C113,C113),"0000"))</f>
        <v/>
      </c>
      <c r="B113" s="13" t="n"/>
      <c r="C113" s="12">
        <f>IF(ISNUMBER(B113),YEAR(B113),"")</f>
        <v/>
      </c>
      <c r="D113" s="14" t="n"/>
      <c r="E113" s="14" t="n"/>
      <c r="F113" s="12">
        <f>IF(E113="","",IFERROR(VLOOKUP(E113,LISTAS!$A$2:$C$65,2,FALSE),"Revisar"))</f>
        <v/>
      </c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2">
        <f>IF(COUNTA(B113:B113)+COUNTA(D113:E113)+COUNTA(G113:AJ113)=0,"",IF(COUNTBLANK(B113:B113)+COUNTBLANK(D113:E113)+COUNTBLANK(G113:G113)+COUNTBLANK(O113:AJ113)&gt;0,"Faltan "&amp;(COUNTBLANK(B113:B113)+COUNTBLANK(D113:E113)+COUNTBLANK(G113:G113)+COUNTBLANK(O113:AJ113))&amp;" datos obligatorios",IF(NOT(ISNUMBER(B113)),"Fecha no válida",IF(N(B113)&gt;TODAY(),"Fecha futura",IF(IFERROR(VLOOKUP(E113,LISTAS!$A$2:$C$65,3,FALSE),"")&lt;&gt;D113,"La subregión no corresponde al municipio",IF(IF(L113="",FALSE,OR(L113&lt;0,L113&gt;110)),"Edad fuera de rango",IF((V113="Sí")+(W113="Sí")+(X113="Sí")+(Y113="Sí")=0,"Marque al menos un tipo de violencia","OK")))))))</f>
        <v/>
      </c>
    </row>
    <row r="114">
      <c r="A114" s="12">
        <f>IF(OR(F114="",F114="Revisar",C114=""),"",F114&amp;"-"&amp;C114&amp;"-"&amp;TEXT(COUNTIFS($F$2:F114,F114,$C$2:C114,C114),"0000"))</f>
        <v/>
      </c>
      <c r="B114" s="13" t="n"/>
      <c r="C114" s="12">
        <f>IF(ISNUMBER(B114),YEAR(B114),"")</f>
        <v/>
      </c>
      <c r="D114" s="14" t="n"/>
      <c r="E114" s="14" t="n"/>
      <c r="F114" s="12">
        <f>IF(E114="","",IFERROR(VLOOKUP(E114,LISTAS!$A$2:$C$65,2,FALSE),"Revisar"))</f>
        <v/>
      </c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2">
        <f>IF(COUNTA(B114:B114)+COUNTA(D114:E114)+COUNTA(G114:AJ114)=0,"",IF(COUNTBLANK(B114:B114)+COUNTBLANK(D114:E114)+COUNTBLANK(G114:G114)+COUNTBLANK(O114:AJ114)&gt;0,"Faltan "&amp;(COUNTBLANK(B114:B114)+COUNTBLANK(D114:E114)+COUNTBLANK(G114:G114)+COUNTBLANK(O114:AJ114))&amp;" datos obligatorios",IF(NOT(ISNUMBER(B114)),"Fecha no válida",IF(N(B114)&gt;TODAY(),"Fecha futura",IF(IFERROR(VLOOKUP(E114,LISTAS!$A$2:$C$65,3,FALSE),"")&lt;&gt;D114,"La subregión no corresponde al municipio",IF(IF(L114="",FALSE,OR(L114&lt;0,L114&gt;110)),"Edad fuera de rango",IF((V114="Sí")+(W114="Sí")+(X114="Sí")+(Y114="Sí")=0,"Marque al menos un tipo de violencia","OK")))))))</f>
        <v/>
      </c>
    </row>
    <row r="115">
      <c r="A115" s="12">
        <f>IF(OR(F115="",F115="Revisar",C115=""),"",F115&amp;"-"&amp;C115&amp;"-"&amp;TEXT(COUNTIFS($F$2:F115,F115,$C$2:C115,C115),"0000"))</f>
        <v/>
      </c>
      <c r="B115" s="13" t="n"/>
      <c r="C115" s="12">
        <f>IF(ISNUMBER(B115),YEAR(B115),"")</f>
        <v/>
      </c>
      <c r="D115" s="14" t="n"/>
      <c r="E115" s="14" t="n"/>
      <c r="F115" s="12">
        <f>IF(E115="","",IFERROR(VLOOKUP(E115,LISTAS!$A$2:$C$65,2,FALSE),"Revisar"))</f>
        <v/>
      </c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2">
        <f>IF(COUNTA(B115:B115)+COUNTA(D115:E115)+COUNTA(G115:AJ115)=0,"",IF(COUNTBLANK(B115:B115)+COUNTBLANK(D115:E115)+COUNTBLANK(G115:G115)+COUNTBLANK(O115:AJ115)&gt;0,"Faltan "&amp;(COUNTBLANK(B115:B115)+COUNTBLANK(D115:E115)+COUNTBLANK(G115:G115)+COUNTBLANK(O115:AJ115))&amp;" datos obligatorios",IF(NOT(ISNUMBER(B115)),"Fecha no válida",IF(N(B115)&gt;TODAY(),"Fecha futura",IF(IFERROR(VLOOKUP(E115,LISTAS!$A$2:$C$65,3,FALSE),"")&lt;&gt;D115,"La subregión no corresponde al municipio",IF(IF(L115="",FALSE,OR(L115&lt;0,L115&gt;110)),"Edad fuera de rango",IF((V115="Sí")+(W115="Sí")+(X115="Sí")+(Y115="Sí")=0,"Marque al menos un tipo de violencia","OK")))))))</f>
        <v/>
      </c>
    </row>
    <row r="116">
      <c r="A116" s="12">
        <f>IF(OR(F116="",F116="Revisar",C116=""),"",F116&amp;"-"&amp;C116&amp;"-"&amp;TEXT(COUNTIFS($F$2:F116,F116,$C$2:C116,C116),"0000"))</f>
        <v/>
      </c>
      <c r="B116" s="13" t="n"/>
      <c r="C116" s="12">
        <f>IF(ISNUMBER(B116),YEAR(B116),"")</f>
        <v/>
      </c>
      <c r="D116" s="14" t="n"/>
      <c r="E116" s="14" t="n"/>
      <c r="F116" s="12">
        <f>IF(E116="","",IFERROR(VLOOKUP(E116,LISTAS!$A$2:$C$65,2,FALSE),"Revisar"))</f>
        <v/>
      </c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2">
        <f>IF(COUNTA(B116:B116)+COUNTA(D116:E116)+COUNTA(G116:AJ116)=0,"",IF(COUNTBLANK(B116:B116)+COUNTBLANK(D116:E116)+COUNTBLANK(G116:G116)+COUNTBLANK(O116:AJ116)&gt;0,"Faltan "&amp;(COUNTBLANK(B116:B116)+COUNTBLANK(D116:E116)+COUNTBLANK(G116:G116)+COUNTBLANK(O116:AJ116))&amp;" datos obligatorios",IF(NOT(ISNUMBER(B116)),"Fecha no válida",IF(N(B116)&gt;TODAY(),"Fecha futura",IF(IFERROR(VLOOKUP(E116,LISTAS!$A$2:$C$65,3,FALSE),"")&lt;&gt;D116,"La subregión no corresponde al municipio",IF(IF(L116="",FALSE,OR(L116&lt;0,L116&gt;110)),"Edad fuera de rango",IF((V116="Sí")+(W116="Sí")+(X116="Sí")+(Y116="Sí")=0,"Marque al menos un tipo de violencia","OK")))))))</f>
        <v/>
      </c>
    </row>
    <row r="117">
      <c r="A117" s="12">
        <f>IF(OR(F117="",F117="Revisar",C117=""),"",F117&amp;"-"&amp;C117&amp;"-"&amp;TEXT(COUNTIFS($F$2:F117,F117,$C$2:C117,C117),"0000"))</f>
        <v/>
      </c>
      <c r="B117" s="13" t="n"/>
      <c r="C117" s="12">
        <f>IF(ISNUMBER(B117),YEAR(B117),"")</f>
        <v/>
      </c>
      <c r="D117" s="14" t="n"/>
      <c r="E117" s="14" t="n"/>
      <c r="F117" s="12">
        <f>IF(E117="","",IFERROR(VLOOKUP(E117,LISTAS!$A$2:$C$65,2,FALSE),"Revisar"))</f>
        <v/>
      </c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2">
        <f>IF(COUNTA(B117:B117)+COUNTA(D117:E117)+COUNTA(G117:AJ117)=0,"",IF(COUNTBLANK(B117:B117)+COUNTBLANK(D117:E117)+COUNTBLANK(G117:G117)+COUNTBLANK(O117:AJ117)&gt;0,"Faltan "&amp;(COUNTBLANK(B117:B117)+COUNTBLANK(D117:E117)+COUNTBLANK(G117:G117)+COUNTBLANK(O117:AJ117))&amp;" datos obligatorios",IF(NOT(ISNUMBER(B117)),"Fecha no válida",IF(N(B117)&gt;TODAY(),"Fecha futura",IF(IFERROR(VLOOKUP(E117,LISTAS!$A$2:$C$65,3,FALSE),"")&lt;&gt;D117,"La subregión no corresponde al municipio",IF(IF(L117="",FALSE,OR(L117&lt;0,L117&gt;110)),"Edad fuera de rango",IF((V117="Sí")+(W117="Sí")+(X117="Sí")+(Y117="Sí")=0,"Marque al menos un tipo de violencia","OK")))))))</f>
        <v/>
      </c>
    </row>
    <row r="118">
      <c r="A118" s="12">
        <f>IF(OR(F118="",F118="Revisar",C118=""),"",F118&amp;"-"&amp;C118&amp;"-"&amp;TEXT(COUNTIFS($F$2:F118,F118,$C$2:C118,C118),"0000"))</f>
        <v/>
      </c>
      <c r="B118" s="13" t="n"/>
      <c r="C118" s="12">
        <f>IF(ISNUMBER(B118),YEAR(B118),"")</f>
        <v/>
      </c>
      <c r="D118" s="14" t="n"/>
      <c r="E118" s="14" t="n"/>
      <c r="F118" s="12">
        <f>IF(E118="","",IFERROR(VLOOKUP(E118,LISTAS!$A$2:$C$65,2,FALSE),"Revisar"))</f>
        <v/>
      </c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2">
        <f>IF(COUNTA(B118:B118)+COUNTA(D118:E118)+COUNTA(G118:AJ118)=0,"",IF(COUNTBLANK(B118:B118)+COUNTBLANK(D118:E118)+COUNTBLANK(G118:G118)+COUNTBLANK(O118:AJ118)&gt;0,"Faltan "&amp;(COUNTBLANK(B118:B118)+COUNTBLANK(D118:E118)+COUNTBLANK(G118:G118)+COUNTBLANK(O118:AJ118))&amp;" datos obligatorios",IF(NOT(ISNUMBER(B118)),"Fecha no válida",IF(N(B118)&gt;TODAY(),"Fecha futura",IF(IFERROR(VLOOKUP(E118,LISTAS!$A$2:$C$65,3,FALSE),"")&lt;&gt;D118,"La subregión no corresponde al municipio",IF(IF(L118="",FALSE,OR(L118&lt;0,L118&gt;110)),"Edad fuera de rango",IF((V118="Sí")+(W118="Sí")+(X118="Sí")+(Y118="Sí")=0,"Marque al menos un tipo de violencia","OK")))))))</f>
        <v/>
      </c>
    </row>
    <row r="119">
      <c r="A119" s="12">
        <f>IF(OR(F119="",F119="Revisar",C119=""),"",F119&amp;"-"&amp;C119&amp;"-"&amp;TEXT(COUNTIFS($F$2:F119,F119,$C$2:C119,C119),"0000"))</f>
        <v/>
      </c>
      <c r="B119" s="13" t="n"/>
      <c r="C119" s="12">
        <f>IF(ISNUMBER(B119),YEAR(B119),"")</f>
        <v/>
      </c>
      <c r="D119" s="14" t="n"/>
      <c r="E119" s="14" t="n"/>
      <c r="F119" s="12">
        <f>IF(E119="","",IFERROR(VLOOKUP(E119,LISTAS!$A$2:$C$65,2,FALSE),"Revisar"))</f>
        <v/>
      </c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2">
        <f>IF(COUNTA(B119:B119)+COUNTA(D119:E119)+COUNTA(G119:AJ119)=0,"",IF(COUNTBLANK(B119:B119)+COUNTBLANK(D119:E119)+COUNTBLANK(G119:G119)+COUNTBLANK(O119:AJ119)&gt;0,"Faltan "&amp;(COUNTBLANK(B119:B119)+COUNTBLANK(D119:E119)+COUNTBLANK(G119:G119)+COUNTBLANK(O119:AJ119))&amp;" datos obligatorios",IF(NOT(ISNUMBER(B119)),"Fecha no válida",IF(N(B119)&gt;TODAY(),"Fecha futura",IF(IFERROR(VLOOKUP(E119,LISTAS!$A$2:$C$65,3,FALSE),"")&lt;&gt;D119,"La subregión no corresponde al municipio",IF(IF(L119="",FALSE,OR(L119&lt;0,L119&gt;110)),"Edad fuera de rango",IF((V119="Sí")+(W119="Sí")+(X119="Sí")+(Y119="Sí")=0,"Marque al menos un tipo de violencia","OK")))))))</f>
        <v/>
      </c>
    </row>
    <row r="120">
      <c r="A120" s="12">
        <f>IF(OR(F120="",F120="Revisar",C120=""),"",F120&amp;"-"&amp;C120&amp;"-"&amp;TEXT(COUNTIFS($F$2:F120,F120,$C$2:C120,C120),"0000"))</f>
        <v/>
      </c>
      <c r="B120" s="13" t="n"/>
      <c r="C120" s="12">
        <f>IF(ISNUMBER(B120),YEAR(B120),"")</f>
        <v/>
      </c>
      <c r="D120" s="14" t="n"/>
      <c r="E120" s="14" t="n"/>
      <c r="F120" s="12">
        <f>IF(E120="","",IFERROR(VLOOKUP(E120,LISTAS!$A$2:$C$65,2,FALSE),"Revisar"))</f>
        <v/>
      </c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2">
        <f>IF(COUNTA(B120:B120)+COUNTA(D120:E120)+COUNTA(G120:AJ120)=0,"",IF(COUNTBLANK(B120:B120)+COUNTBLANK(D120:E120)+COUNTBLANK(G120:G120)+COUNTBLANK(O120:AJ120)&gt;0,"Faltan "&amp;(COUNTBLANK(B120:B120)+COUNTBLANK(D120:E120)+COUNTBLANK(G120:G120)+COUNTBLANK(O120:AJ120))&amp;" datos obligatorios",IF(NOT(ISNUMBER(B120)),"Fecha no válida",IF(N(B120)&gt;TODAY(),"Fecha futura",IF(IFERROR(VLOOKUP(E120,LISTAS!$A$2:$C$65,3,FALSE),"")&lt;&gt;D120,"La subregión no corresponde al municipio",IF(IF(L120="",FALSE,OR(L120&lt;0,L120&gt;110)),"Edad fuera de rango",IF((V120="Sí")+(W120="Sí")+(X120="Sí")+(Y120="Sí")=0,"Marque al menos un tipo de violencia","OK")))))))</f>
        <v/>
      </c>
    </row>
    <row r="121">
      <c r="A121" s="12">
        <f>IF(OR(F121="",F121="Revisar",C121=""),"",F121&amp;"-"&amp;C121&amp;"-"&amp;TEXT(COUNTIFS($F$2:F121,F121,$C$2:C121,C121),"0000"))</f>
        <v/>
      </c>
      <c r="B121" s="13" t="n"/>
      <c r="C121" s="12">
        <f>IF(ISNUMBER(B121),YEAR(B121),"")</f>
        <v/>
      </c>
      <c r="D121" s="14" t="n"/>
      <c r="E121" s="14" t="n"/>
      <c r="F121" s="12">
        <f>IF(E121="","",IFERROR(VLOOKUP(E121,LISTAS!$A$2:$C$65,2,FALSE),"Revisar"))</f>
        <v/>
      </c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2">
        <f>IF(COUNTA(B121:B121)+COUNTA(D121:E121)+COUNTA(G121:AJ121)=0,"",IF(COUNTBLANK(B121:B121)+COUNTBLANK(D121:E121)+COUNTBLANK(G121:G121)+COUNTBLANK(O121:AJ121)&gt;0,"Faltan "&amp;(COUNTBLANK(B121:B121)+COUNTBLANK(D121:E121)+COUNTBLANK(G121:G121)+COUNTBLANK(O121:AJ121))&amp;" datos obligatorios",IF(NOT(ISNUMBER(B121)),"Fecha no válida",IF(N(B121)&gt;TODAY(),"Fecha futura",IF(IFERROR(VLOOKUP(E121,LISTAS!$A$2:$C$65,3,FALSE),"")&lt;&gt;D121,"La subregión no corresponde al municipio",IF(IF(L121="",FALSE,OR(L121&lt;0,L121&gt;110)),"Edad fuera de rango",IF((V121="Sí")+(W121="Sí")+(X121="Sí")+(Y121="Sí")=0,"Marque al menos un tipo de violencia","OK")))))))</f>
        <v/>
      </c>
    </row>
    <row r="122">
      <c r="A122" s="12">
        <f>IF(OR(F122="",F122="Revisar",C122=""),"",F122&amp;"-"&amp;C122&amp;"-"&amp;TEXT(COUNTIFS($F$2:F122,F122,$C$2:C122,C122),"0000"))</f>
        <v/>
      </c>
      <c r="B122" s="13" t="n"/>
      <c r="C122" s="12">
        <f>IF(ISNUMBER(B122),YEAR(B122),"")</f>
        <v/>
      </c>
      <c r="D122" s="14" t="n"/>
      <c r="E122" s="14" t="n"/>
      <c r="F122" s="12">
        <f>IF(E122="","",IFERROR(VLOOKUP(E122,LISTAS!$A$2:$C$65,2,FALSE),"Revisar"))</f>
        <v/>
      </c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2">
        <f>IF(COUNTA(B122:B122)+COUNTA(D122:E122)+COUNTA(G122:AJ122)=0,"",IF(COUNTBLANK(B122:B122)+COUNTBLANK(D122:E122)+COUNTBLANK(G122:G122)+COUNTBLANK(O122:AJ122)&gt;0,"Faltan "&amp;(COUNTBLANK(B122:B122)+COUNTBLANK(D122:E122)+COUNTBLANK(G122:G122)+COUNTBLANK(O122:AJ122))&amp;" datos obligatorios",IF(NOT(ISNUMBER(B122)),"Fecha no válida",IF(N(B122)&gt;TODAY(),"Fecha futura",IF(IFERROR(VLOOKUP(E122,LISTAS!$A$2:$C$65,3,FALSE),"")&lt;&gt;D122,"La subregión no corresponde al municipio",IF(IF(L122="",FALSE,OR(L122&lt;0,L122&gt;110)),"Edad fuera de rango",IF((V122="Sí")+(W122="Sí")+(X122="Sí")+(Y122="Sí")=0,"Marque al menos un tipo de violencia","OK")))))))</f>
        <v/>
      </c>
    </row>
    <row r="123">
      <c r="A123" s="12">
        <f>IF(OR(F123="",F123="Revisar",C123=""),"",F123&amp;"-"&amp;C123&amp;"-"&amp;TEXT(COUNTIFS($F$2:F123,F123,$C$2:C123,C123),"0000"))</f>
        <v/>
      </c>
      <c r="B123" s="13" t="n"/>
      <c r="C123" s="12">
        <f>IF(ISNUMBER(B123),YEAR(B123),"")</f>
        <v/>
      </c>
      <c r="D123" s="14" t="n"/>
      <c r="E123" s="14" t="n"/>
      <c r="F123" s="12">
        <f>IF(E123="","",IFERROR(VLOOKUP(E123,LISTAS!$A$2:$C$65,2,FALSE),"Revisar"))</f>
        <v/>
      </c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2">
        <f>IF(COUNTA(B123:B123)+COUNTA(D123:E123)+COUNTA(G123:AJ123)=0,"",IF(COUNTBLANK(B123:B123)+COUNTBLANK(D123:E123)+COUNTBLANK(G123:G123)+COUNTBLANK(O123:AJ123)&gt;0,"Faltan "&amp;(COUNTBLANK(B123:B123)+COUNTBLANK(D123:E123)+COUNTBLANK(G123:G123)+COUNTBLANK(O123:AJ123))&amp;" datos obligatorios",IF(NOT(ISNUMBER(B123)),"Fecha no válida",IF(N(B123)&gt;TODAY(),"Fecha futura",IF(IFERROR(VLOOKUP(E123,LISTAS!$A$2:$C$65,3,FALSE),"")&lt;&gt;D123,"La subregión no corresponde al municipio",IF(IF(L123="",FALSE,OR(L123&lt;0,L123&gt;110)),"Edad fuera de rango",IF((V123="Sí")+(W123="Sí")+(X123="Sí")+(Y123="Sí")=0,"Marque al menos un tipo de violencia","OK")))))))</f>
        <v/>
      </c>
    </row>
    <row r="124">
      <c r="A124" s="12">
        <f>IF(OR(F124="",F124="Revisar",C124=""),"",F124&amp;"-"&amp;C124&amp;"-"&amp;TEXT(COUNTIFS($F$2:F124,F124,$C$2:C124,C124),"0000"))</f>
        <v/>
      </c>
      <c r="B124" s="13" t="n"/>
      <c r="C124" s="12">
        <f>IF(ISNUMBER(B124),YEAR(B124),"")</f>
        <v/>
      </c>
      <c r="D124" s="14" t="n"/>
      <c r="E124" s="14" t="n"/>
      <c r="F124" s="12">
        <f>IF(E124="","",IFERROR(VLOOKUP(E124,LISTAS!$A$2:$C$65,2,FALSE),"Revisar"))</f>
        <v/>
      </c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2">
        <f>IF(COUNTA(B124:B124)+COUNTA(D124:E124)+COUNTA(G124:AJ124)=0,"",IF(COUNTBLANK(B124:B124)+COUNTBLANK(D124:E124)+COUNTBLANK(G124:G124)+COUNTBLANK(O124:AJ124)&gt;0,"Faltan "&amp;(COUNTBLANK(B124:B124)+COUNTBLANK(D124:E124)+COUNTBLANK(G124:G124)+COUNTBLANK(O124:AJ124))&amp;" datos obligatorios",IF(NOT(ISNUMBER(B124)),"Fecha no válida",IF(N(B124)&gt;TODAY(),"Fecha futura",IF(IFERROR(VLOOKUP(E124,LISTAS!$A$2:$C$65,3,FALSE),"")&lt;&gt;D124,"La subregión no corresponde al municipio",IF(IF(L124="",FALSE,OR(L124&lt;0,L124&gt;110)),"Edad fuera de rango",IF((V124="Sí")+(W124="Sí")+(X124="Sí")+(Y124="Sí")=0,"Marque al menos un tipo de violencia","OK")))))))</f>
        <v/>
      </c>
    </row>
    <row r="125">
      <c r="A125" s="12">
        <f>IF(OR(F125="",F125="Revisar",C125=""),"",F125&amp;"-"&amp;C125&amp;"-"&amp;TEXT(COUNTIFS($F$2:F125,F125,$C$2:C125,C125),"0000"))</f>
        <v/>
      </c>
      <c r="B125" s="13" t="n"/>
      <c r="C125" s="12">
        <f>IF(ISNUMBER(B125),YEAR(B125),"")</f>
        <v/>
      </c>
      <c r="D125" s="14" t="n"/>
      <c r="E125" s="14" t="n"/>
      <c r="F125" s="12">
        <f>IF(E125="","",IFERROR(VLOOKUP(E125,LISTAS!$A$2:$C$65,2,FALSE),"Revisar"))</f>
        <v/>
      </c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2">
        <f>IF(COUNTA(B125:B125)+COUNTA(D125:E125)+COUNTA(G125:AJ125)=0,"",IF(COUNTBLANK(B125:B125)+COUNTBLANK(D125:E125)+COUNTBLANK(G125:G125)+COUNTBLANK(O125:AJ125)&gt;0,"Faltan "&amp;(COUNTBLANK(B125:B125)+COUNTBLANK(D125:E125)+COUNTBLANK(G125:G125)+COUNTBLANK(O125:AJ125))&amp;" datos obligatorios",IF(NOT(ISNUMBER(B125)),"Fecha no válida",IF(N(B125)&gt;TODAY(),"Fecha futura",IF(IFERROR(VLOOKUP(E125,LISTAS!$A$2:$C$65,3,FALSE),"")&lt;&gt;D125,"La subregión no corresponde al municipio",IF(IF(L125="",FALSE,OR(L125&lt;0,L125&gt;110)),"Edad fuera de rango",IF((V125="Sí")+(W125="Sí")+(X125="Sí")+(Y125="Sí")=0,"Marque al menos un tipo de violencia","OK")))))))</f>
        <v/>
      </c>
    </row>
    <row r="126">
      <c r="A126" s="12">
        <f>IF(OR(F126="",F126="Revisar",C126=""),"",F126&amp;"-"&amp;C126&amp;"-"&amp;TEXT(COUNTIFS($F$2:F126,F126,$C$2:C126,C126),"0000"))</f>
        <v/>
      </c>
      <c r="B126" s="13" t="n"/>
      <c r="C126" s="12">
        <f>IF(ISNUMBER(B126),YEAR(B126),"")</f>
        <v/>
      </c>
      <c r="D126" s="14" t="n"/>
      <c r="E126" s="14" t="n"/>
      <c r="F126" s="12">
        <f>IF(E126="","",IFERROR(VLOOKUP(E126,LISTAS!$A$2:$C$65,2,FALSE),"Revisar"))</f>
        <v/>
      </c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2">
        <f>IF(COUNTA(B126:B126)+COUNTA(D126:E126)+COUNTA(G126:AJ126)=0,"",IF(COUNTBLANK(B126:B126)+COUNTBLANK(D126:E126)+COUNTBLANK(G126:G126)+COUNTBLANK(O126:AJ126)&gt;0,"Faltan "&amp;(COUNTBLANK(B126:B126)+COUNTBLANK(D126:E126)+COUNTBLANK(G126:G126)+COUNTBLANK(O126:AJ126))&amp;" datos obligatorios",IF(NOT(ISNUMBER(B126)),"Fecha no válida",IF(N(B126)&gt;TODAY(),"Fecha futura",IF(IFERROR(VLOOKUP(E126,LISTAS!$A$2:$C$65,3,FALSE),"")&lt;&gt;D126,"La subregión no corresponde al municipio",IF(IF(L126="",FALSE,OR(L126&lt;0,L126&gt;110)),"Edad fuera de rango",IF((V126="Sí")+(W126="Sí")+(X126="Sí")+(Y126="Sí")=0,"Marque al menos un tipo de violencia","OK")))))))</f>
        <v/>
      </c>
    </row>
    <row r="127">
      <c r="A127" s="12">
        <f>IF(OR(F127="",F127="Revisar",C127=""),"",F127&amp;"-"&amp;C127&amp;"-"&amp;TEXT(COUNTIFS($F$2:F127,F127,$C$2:C127,C127),"0000"))</f>
        <v/>
      </c>
      <c r="B127" s="13" t="n"/>
      <c r="C127" s="12">
        <f>IF(ISNUMBER(B127),YEAR(B127),"")</f>
        <v/>
      </c>
      <c r="D127" s="14" t="n"/>
      <c r="E127" s="14" t="n"/>
      <c r="F127" s="12">
        <f>IF(E127="","",IFERROR(VLOOKUP(E127,LISTAS!$A$2:$C$65,2,FALSE),"Revisar"))</f>
        <v/>
      </c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2">
        <f>IF(COUNTA(B127:B127)+COUNTA(D127:E127)+COUNTA(G127:AJ127)=0,"",IF(COUNTBLANK(B127:B127)+COUNTBLANK(D127:E127)+COUNTBLANK(G127:G127)+COUNTBLANK(O127:AJ127)&gt;0,"Faltan "&amp;(COUNTBLANK(B127:B127)+COUNTBLANK(D127:E127)+COUNTBLANK(G127:G127)+COUNTBLANK(O127:AJ127))&amp;" datos obligatorios",IF(NOT(ISNUMBER(B127)),"Fecha no válida",IF(N(B127)&gt;TODAY(),"Fecha futura",IF(IFERROR(VLOOKUP(E127,LISTAS!$A$2:$C$65,3,FALSE),"")&lt;&gt;D127,"La subregión no corresponde al municipio",IF(IF(L127="",FALSE,OR(L127&lt;0,L127&gt;110)),"Edad fuera de rango",IF((V127="Sí")+(W127="Sí")+(X127="Sí")+(Y127="Sí")=0,"Marque al menos un tipo de violencia","OK")))))))</f>
        <v/>
      </c>
    </row>
    <row r="128">
      <c r="A128" s="12">
        <f>IF(OR(F128="",F128="Revisar",C128=""),"",F128&amp;"-"&amp;C128&amp;"-"&amp;TEXT(COUNTIFS($F$2:F128,F128,$C$2:C128,C128),"0000"))</f>
        <v/>
      </c>
      <c r="B128" s="13" t="n"/>
      <c r="C128" s="12">
        <f>IF(ISNUMBER(B128),YEAR(B128),"")</f>
        <v/>
      </c>
      <c r="D128" s="14" t="n"/>
      <c r="E128" s="14" t="n"/>
      <c r="F128" s="12">
        <f>IF(E128="","",IFERROR(VLOOKUP(E128,LISTAS!$A$2:$C$65,2,FALSE),"Revisar"))</f>
        <v/>
      </c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2">
        <f>IF(COUNTA(B128:B128)+COUNTA(D128:E128)+COUNTA(G128:AJ128)=0,"",IF(COUNTBLANK(B128:B128)+COUNTBLANK(D128:E128)+COUNTBLANK(G128:G128)+COUNTBLANK(O128:AJ128)&gt;0,"Faltan "&amp;(COUNTBLANK(B128:B128)+COUNTBLANK(D128:E128)+COUNTBLANK(G128:G128)+COUNTBLANK(O128:AJ128))&amp;" datos obligatorios",IF(NOT(ISNUMBER(B128)),"Fecha no válida",IF(N(B128)&gt;TODAY(),"Fecha futura",IF(IFERROR(VLOOKUP(E128,LISTAS!$A$2:$C$65,3,FALSE),"")&lt;&gt;D128,"La subregión no corresponde al municipio",IF(IF(L128="",FALSE,OR(L128&lt;0,L128&gt;110)),"Edad fuera de rango",IF((V128="Sí")+(W128="Sí")+(X128="Sí")+(Y128="Sí")=0,"Marque al menos un tipo de violencia","OK")))))))</f>
        <v/>
      </c>
    </row>
    <row r="129">
      <c r="A129" s="12">
        <f>IF(OR(F129="",F129="Revisar",C129=""),"",F129&amp;"-"&amp;C129&amp;"-"&amp;TEXT(COUNTIFS($F$2:F129,F129,$C$2:C129,C129),"0000"))</f>
        <v/>
      </c>
      <c r="B129" s="13" t="n"/>
      <c r="C129" s="12">
        <f>IF(ISNUMBER(B129),YEAR(B129),"")</f>
        <v/>
      </c>
      <c r="D129" s="14" t="n"/>
      <c r="E129" s="14" t="n"/>
      <c r="F129" s="12">
        <f>IF(E129="","",IFERROR(VLOOKUP(E129,LISTAS!$A$2:$C$65,2,FALSE),"Revisar"))</f>
        <v/>
      </c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2">
        <f>IF(COUNTA(B129:B129)+COUNTA(D129:E129)+COUNTA(G129:AJ129)=0,"",IF(COUNTBLANK(B129:B129)+COUNTBLANK(D129:E129)+COUNTBLANK(G129:G129)+COUNTBLANK(O129:AJ129)&gt;0,"Faltan "&amp;(COUNTBLANK(B129:B129)+COUNTBLANK(D129:E129)+COUNTBLANK(G129:G129)+COUNTBLANK(O129:AJ129))&amp;" datos obligatorios",IF(NOT(ISNUMBER(B129)),"Fecha no válida",IF(N(B129)&gt;TODAY(),"Fecha futura",IF(IFERROR(VLOOKUP(E129,LISTAS!$A$2:$C$65,3,FALSE),"")&lt;&gt;D129,"La subregión no corresponde al municipio",IF(IF(L129="",FALSE,OR(L129&lt;0,L129&gt;110)),"Edad fuera de rango",IF((V129="Sí")+(W129="Sí")+(X129="Sí")+(Y129="Sí")=0,"Marque al menos un tipo de violencia","OK")))))))</f>
        <v/>
      </c>
    </row>
    <row r="130">
      <c r="A130" s="12">
        <f>IF(OR(F130="",F130="Revisar",C130=""),"",F130&amp;"-"&amp;C130&amp;"-"&amp;TEXT(COUNTIFS($F$2:F130,F130,$C$2:C130,C130),"0000"))</f>
        <v/>
      </c>
      <c r="B130" s="13" t="n"/>
      <c r="C130" s="12">
        <f>IF(ISNUMBER(B130),YEAR(B130),"")</f>
        <v/>
      </c>
      <c r="D130" s="14" t="n"/>
      <c r="E130" s="14" t="n"/>
      <c r="F130" s="12">
        <f>IF(E130="","",IFERROR(VLOOKUP(E130,LISTAS!$A$2:$C$65,2,FALSE),"Revisar"))</f>
        <v/>
      </c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2">
        <f>IF(COUNTA(B130:B130)+COUNTA(D130:E130)+COUNTA(G130:AJ130)=0,"",IF(COUNTBLANK(B130:B130)+COUNTBLANK(D130:E130)+COUNTBLANK(G130:G130)+COUNTBLANK(O130:AJ130)&gt;0,"Faltan "&amp;(COUNTBLANK(B130:B130)+COUNTBLANK(D130:E130)+COUNTBLANK(G130:G130)+COUNTBLANK(O130:AJ130))&amp;" datos obligatorios",IF(NOT(ISNUMBER(B130)),"Fecha no válida",IF(N(B130)&gt;TODAY(),"Fecha futura",IF(IFERROR(VLOOKUP(E130,LISTAS!$A$2:$C$65,3,FALSE),"")&lt;&gt;D130,"La subregión no corresponde al municipio",IF(IF(L130="",FALSE,OR(L130&lt;0,L130&gt;110)),"Edad fuera de rango",IF((V130="Sí")+(W130="Sí")+(X130="Sí")+(Y130="Sí")=0,"Marque al menos un tipo de violencia","OK")))))))</f>
        <v/>
      </c>
    </row>
    <row r="131">
      <c r="A131" s="12">
        <f>IF(OR(F131="",F131="Revisar",C131=""),"",F131&amp;"-"&amp;C131&amp;"-"&amp;TEXT(COUNTIFS($F$2:F131,F131,$C$2:C131,C131),"0000"))</f>
        <v/>
      </c>
      <c r="B131" s="13" t="n"/>
      <c r="C131" s="12">
        <f>IF(ISNUMBER(B131),YEAR(B131),"")</f>
        <v/>
      </c>
      <c r="D131" s="14" t="n"/>
      <c r="E131" s="14" t="n"/>
      <c r="F131" s="12">
        <f>IF(E131="","",IFERROR(VLOOKUP(E131,LISTAS!$A$2:$C$65,2,FALSE),"Revisar"))</f>
        <v/>
      </c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2">
        <f>IF(COUNTA(B131:B131)+COUNTA(D131:E131)+COUNTA(G131:AJ131)=0,"",IF(COUNTBLANK(B131:B131)+COUNTBLANK(D131:E131)+COUNTBLANK(G131:G131)+COUNTBLANK(O131:AJ131)&gt;0,"Faltan "&amp;(COUNTBLANK(B131:B131)+COUNTBLANK(D131:E131)+COUNTBLANK(G131:G131)+COUNTBLANK(O131:AJ131))&amp;" datos obligatorios",IF(NOT(ISNUMBER(B131)),"Fecha no válida",IF(N(B131)&gt;TODAY(),"Fecha futura",IF(IFERROR(VLOOKUP(E131,LISTAS!$A$2:$C$65,3,FALSE),"")&lt;&gt;D131,"La subregión no corresponde al municipio",IF(IF(L131="",FALSE,OR(L131&lt;0,L131&gt;110)),"Edad fuera de rango",IF((V131="Sí")+(W131="Sí")+(X131="Sí")+(Y131="Sí")=0,"Marque al menos un tipo de violencia","OK")))))))</f>
        <v/>
      </c>
    </row>
    <row r="132">
      <c r="A132" s="12">
        <f>IF(OR(F132="",F132="Revisar",C132=""),"",F132&amp;"-"&amp;C132&amp;"-"&amp;TEXT(COUNTIFS($F$2:F132,F132,$C$2:C132,C132),"0000"))</f>
        <v/>
      </c>
      <c r="B132" s="13" t="n"/>
      <c r="C132" s="12">
        <f>IF(ISNUMBER(B132),YEAR(B132),"")</f>
        <v/>
      </c>
      <c r="D132" s="14" t="n"/>
      <c r="E132" s="14" t="n"/>
      <c r="F132" s="12">
        <f>IF(E132="","",IFERROR(VLOOKUP(E132,LISTAS!$A$2:$C$65,2,FALSE),"Revisar"))</f>
        <v/>
      </c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2">
        <f>IF(COUNTA(B132:B132)+COUNTA(D132:E132)+COUNTA(G132:AJ132)=0,"",IF(COUNTBLANK(B132:B132)+COUNTBLANK(D132:E132)+COUNTBLANK(G132:G132)+COUNTBLANK(O132:AJ132)&gt;0,"Faltan "&amp;(COUNTBLANK(B132:B132)+COUNTBLANK(D132:E132)+COUNTBLANK(G132:G132)+COUNTBLANK(O132:AJ132))&amp;" datos obligatorios",IF(NOT(ISNUMBER(B132)),"Fecha no válida",IF(N(B132)&gt;TODAY(),"Fecha futura",IF(IFERROR(VLOOKUP(E132,LISTAS!$A$2:$C$65,3,FALSE),"")&lt;&gt;D132,"La subregión no corresponde al municipio",IF(IF(L132="",FALSE,OR(L132&lt;0,L132&gt;110)),"Edad fuera de rango",IF((V132="Sí")+(W132="Sí")+(X132="Sí")+(Y132="Sí")=0,"Marque al menos un tipo de violencia","OK")))))))</f>
        <v/>
      </c>
    </row>
    <row r="133">
      <c r="A133" s="12">
        <f>IF(OR(F133="",F133="Revisar",C133=""),"",F133&amp;"-"&amp;C133&amp;"-"&amp;TEXT(COUNTIFS($F$2:F133,F133,$C$2:C133,C133),"0000"))</f>
        <v/>
      </c>
      <c r="B133" s="13" t="n"/>
      <c r="C133" s="12">
        <f>IF(ISNUMBER(B133),YEAR(B133),"")</f>
        <v/>
      </c>
      <c r="D133" s="14" t="n"/>
      <c r="E133" s="14" t="n"/>
      <c r="F133" s="12">
        <f>IF(E133="","",IFERROR(VLOOKUP(E133,LISTAS!$A$2:$C$65,2,FALSE),"Revisar"))</f>
        <v/>
      </c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2">
        <f>IF(COUNTA(B133:B133)+COUNTA(D133:E133)+COUNTA(G133:AJ133)=0,"",IF(COUNTBLANK(B133:B133)+COUNTBLANK(D133:E133)+COUNTBLANK(G133:G133)+COUNTBLANK(O133:AJ133)&gt;0,"Faltan "&amp;(COUNTBLANK(B133:B133)+COUNTBLANK(D133:E133)+COUNTBLANK(G133:G133)+COUNTBLANK(O133:AJ133))&amp;" datos obligatorios",IF(NOT(ISNUMBER(B133)),"Fecha no válida",IF(N(B133)&gt;TODAY(),"Fecha futura",IF(IFERROR(VLOOKUP(E133,LISTAS!$A$2:$C$65,3,FALSE),"")&lt;&gt;D133,"La subregión no corresponde al municipio",IF(IF(L133="",FALSE,OR(L133&lt;0,L133&gt;110)),"Edad fuera de rango",IF((V133="Sí")+(W133="Sí")+(X133="Sí")+(Y133="Sí")=0,"Marque al menos un tipo de violencia","OK")))))))</f>
        <v/>
      </c>
    </row>
    <row r="134">
      <c r="A134" s="12">
        <f>IF(OR(F134="",F134="Revisar",C134=""),"",F134&amp;"-"&amp;C134&amp;"-"&amp;TEXT(COUNTIFS($F$2:F134,F134,$C$2:C134,C134),"0000"))</f>
        <v/>
      </c>
      <c r="B134" s="13" t="n"/>
      <c r="C134" s="12">
        <f>IF(ISNUMBER(B134),YEAR(B134),"")</f>
        <v/>
      </c>
      <c r="D134" s="14" t="n"/>
      <c r="E134" s="14" t="n"/>
      <c r="F134" s="12">
        <f>IF(E134="","",IFERROR(VLOOKUP(E134,LISTAS!$A$2:$C$65,2,FALSE),"Revisar"))</f>
        <v/>
      </c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2">
        <f>IF(COUNTA(B134:B134)+COUNTA(D134:E134)+COUNTA(G134:AJ134)=0,"",IF(COUNTBLANK(B134:B134)+COUNTBLANK(D134:E134)+COUNTBLANK(G134:G134)+COUNTBLANK(O134:AJ134)&gt;0,"Faltan "&amp;(COUNTBLANK(B134:B134)+COUNTBLANK(D134:E134)+COUNTBLANK(G134:G134)+COUNTBLANK(O134:AJ134))&amp;" datos obligatorios",IF(NOT(ISNUMBER(B134)),"Fecha no válida",IF(N(B134)&gt;TODAY(),"Fecha futura",IF(IFERROR(VLOOKUP(E134,LISTAS!$A$2:$C$65,3,FALSE),"")&lt;&gt;D134,"La subregión no corresponde al municipio",IF(IF(L134="",FALSE,OR(L134&lt;0,L134&gt;110)),"Edad fuera de rango",IF((V134="Sí")+(W134="Sí")+(X134="Sí")+(Y134="Sí")=0,"Marque al menos un tipo de violencia","OK")))))))</f>
        <v/>
      </c>
    </row>
    <row r="135">
      <c r="A135" s="12">
        <f>IF(OR(F135="",F135="Revisar",C135=""),"",F135&amp;"-"&amp;C135&amp;"-"&amp;TEXT(COUNTIFS($F$2:F135,F135,$C$2:C135,C135),"0000"))</f>
        <v/>
      </c>
      <c r="B135" s="13" t="n"/>
      <c r="C135" s="12">
        <f>IF(ISNUMBER(B135),YEAR(B135),"")</f>
        <v/>
      </c>
      <c r="D135" s="14" t="n"/>
      <c r="E135" s="14" t="n"/>
      <c r="F135" s="12">
        <f>IF(E135="","",IFERROR(VLOOKUP(E135,LISTAS!$A$2:$C$65,2,FALSE),"Revisar"))</f>
        <v/>
      </c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2">
        <f>IF(COUNTA(B135:B135)+COUNTA(D135:E135)+COUNTA(G135:AJ135)=0,"",IF(COUNTBLANK(B135:B135)+COUNTBLANK(D135:E135)+COUNTBLANK(G135:G135)+COUNTBLANK(O135:AJ135)&gt;0,"Faltan "&amp;(COUNTBLANK(B135:B135)+COUNTBLANK(D135:E135)+COUNTBLANK(G135:G135)+COUNTBLANK(O135:AJ135))&amp;" datos obligatorios",IF(NOT(ISNUMBER(B135)),"Fecha no válida",IF(N(B135)&gt;TODAY(),"Fecha futura",IF(IFERROR(VLOOKUP(E135,LISTAS!$A$2:$C$65,3,FALSE),"")&lt;&gt;D135,"La subregión no corresponde al municipio",IF(IF(L135="",FALSE,OR(L135&lt;0,L135&gt;110)),"Edad fuera de rango",IF((V135="Sí")+(W135="Sí")+(X135="Sí")+(Y135="Sí")=0,"Marque al menos un tipo de violencia","OK")))))))</f>
        <v/>
      </c>
    </row>
    <row r="136">
      <c r="A136" s="12">
        <f>IF(OR(F136="",F136="Revisar",C136=""),"",F136&amp;"-"&amp;C136&amp;"-"&amp;TEXT(COUNTIFS($F$2:F136,F136,$C$2:C136,C136),"0000"))</f>
        <v/>
      </c>
      <c r="B136" s="13" t="n"/>
      <c r="C136" s="12">
        <f>IF(ISNUMBER(B136),YEAR(B136),"")</f>
        <v/>
      </c>
      <c r="D136" s="14" t="n"/>
      <c r="E136" s="14" t="n"/>
      <c r="F136" s="12">
        <f>IF(E136="","",IFERROR(VLOOKUP(E136,LISTAS!$A$2:$C$65,2,FALSE),"Revisar"))</f>
        <v/>
      </c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2">
        <f>IF(COUNTA(B136:B136)+COUNTA(D136:E136)+COUNTA(G136:AJ136)=0,"",IF(COUNTBLANK(B136:B136)+COUNTBLANK(D136:E136)+COUNTBLANK(G136:G136)+COUNTBLANK(O136:AJ136)&gt;0,"Faltan "&amp;(COUNTBLANK(B136:B136)+COUNTBLANK(D136:E136)+COUNTBLANK(G136:G136)+COUNTBLANK(O136:AJ136))&amp;" datos obligatorios",IF(NOT(ISNUMBER(B136)),"Fecha no válida",IF(N(B136)&gt;TODAY(),"Fecha futura",IF(IFERROR(VLOOKUP(E136,LISTAS!$A$2:$C$65,3,FALSE),"")&lt;&gt;D136,"La subregión no corresponde al municipio",IF(IF(L136="",FALSE,OR(L136&lt;0,L136&gt;110)),"Edad fuera de rango",IF((V136="Sí")+(W136="Sí")+(X136="Sí")+(Y136="Sí")=0,"Marque al menos un tipo de violencia","OK")))))))</f>
        <v/>
      </c>
    </row>
    <row r="137">
      <c r="A137" s="12">
        <f>IF(OR(F137="",F137="Revisar",C137=""),"",F137&amp;"-"&amp;C137&amp;"-"&amp;TEXT(COUNTIFS($F$2:F137,F137,$C$2:C137,C137),"0000"))</f>
        <v/>
      </c>
      <c r="B137" s="13" t="n"/>
      <c r="C137" s="12">
        <f>IF(ISNUMBER(B137),YEAR(B137),"")</f>
        <v/>
      </c>
      <c r="D137" s="14" t="n"/>
      <c r="E137" s="14" t="n"/>
      <c r="F137" s="12">
        <f>IF(E137="","",IFERROR(VLOOKUP(E137,LISTAS!$A$2:$C$65,2,FALSE),"Revisar"))</f>
        <v/>
      </c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2">
        <f>IF(COUNTA(B137:B137)+COUNTA(D137:E137)+COUNTA(G137:AJ137)=0,"",IF(COUNTBLANK(B137:B137)+COUNTBLANK(D137:E137)+COUNTBLANK(G137:G137)+COUNTBLANK(O137:AJ137)&gt;0,"Faltan "&amp;(COUNTBLANK(B137:B137)+COUNTBLANK(D137:E137)+COUNTBLANK(G137:G137)+COUNTBLANK(O137:AJ137))&amp;" datos obligatorios",IF(NOT(ISNUMBER(B137)),"Fecha no válida",IF(N(B137)&gt;TODAY(),"Fecha futura",IF(IFERROR(VLOOKUP(E137,LISTAS!$A$2:$C$65,3,FALSE),"")&lt;&gt;D137,"La subregión no corresponde al municipio",IF(IF(L137="",FALSE,OR(L137&lt;0,L137&gt;110)),"Edad fuera de rango",IF((V137="Sí")+(W137="Sí")+(X137="Sí")+(Y137="Sí")=0,"Marque al menos un tipo de violencia","OK")))))))</f>
        <v/>
      </c>
    </row>
    <row r="138">
      <c r="A138" s="12">
        <f>IF(OR(F138="",F138="Revisar",C138=""),"",F138&amp;"-"&amp;C138&amp;"-"&amp;TEXT(COUNTIFS($F$2:F138,F138,$C$2:C138,C138),"0000"))</f>
        <v/>
      </c>
      <c r="B138" s="13" t="n"/>
      <c r="C138" s="12">
        <f>IF(ISNUMBER(B138),YEAR(B138),"")</f>
        <v/>
      </c>
      <c r="D138" s="14" t="n"/>
      <c r="E138" s="14" t="n"/>
      <c r="F138" s="12">
        <f>IF(E138="","",IFERROR(VLOOKUP(E138,LISTAS!$A$2:$C$65,2,FALSE),"Revisar"))</f>
        <v/>
      </c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2">
        <f>IF(COUNTA(B138:B138)+COUNTA(D138:E138)+COUNTA(G138:AJ138)=0,"",IF(COUNTBLANK(B138:B138)+COUNTBLANK(D138:E138)+COUNTBLANK(G138:G138)+COUNTBLANK(O138:AJ138)&gt;0,"Faltan "&amp;(COUNTBLANK(B138:B138)+COUNTBLANK(D138:E138)+COUNTBLANK(G138:G138)+COUNTBLANK(O138:AJ138))&amp;" datos obligatorios",IF(NOT(ISNUMBER(B138)),"Fecha no válida",IF(N(B138)&gt;TODAY(),"Fecha futura",IF(IFERROR(VLOOKUP(E138,LISTAS!$A$2:$C$65,3,FALSE),"")&lt;&gt;D138,"La subregión no corresponde al municipio",IF(IF(L138="",FALSE,OR(L138&lt;0,L138&gt;110)),"Edad fuera de rango",IF((V138="Sí")+(W138="Sí")+(X138="Sí")+(Y138="Sí")=0,"Marque al menos un tipo de violencia","OK")))))))</f>
        <v/>
      </c>
    </row>
    <row r="139">
      <c r="A139" s="12">
        <f>IF(OR(F139="",F139="Revisar",C139=""),"",F139&amp;"-"&amp;C139&amp;"-"&amp;TEXT(COUNTIFS($F$2:F139,F139,$C$2:C139,C139),"0000"))</f>
        <v/>
      </c>
      <c r="B139" s="13" t="n"/>
      <c r="C139" s="12">
        <f>IF(ISNUMBER(B139),YEAR(B139),"")</f>
        <v/>
      </c>
      <c r="D139" s="14" t="n"/>
      <c r="E139" s="14" t="n"/>
      <c r="F139" s="12">
        <f>IF(E139="","",IFERROR(VLOOKUP(E139,LISTAS!$A$2:$C$65,2,FALSE),"Revisar"))</f>
        <v/>
      </c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2">
        <f>IF(COUNTA(B139:B139)+COUNTA(D139:E139)+COUNTA(G139:AJ139)=0,"",IF(COUNTBLANK(B139:B139)+COUNTBLANK(D139:E139)+COUNTBLANK(G139:G139)+COUNTBLANK(O139:AJ139)&gt;0,"Faltan "&amp;(COUNTBLANK(B139:B139)+COUNTBLANK(D139:E139)+COUNTBLANK(G139:G139)+COUNTBLANK(O139:AJ139))&amp;" datos obligatorios",IF(NOT(ISNUMBER(B139)),"Fecha no válida",IF(N(B139)&gt;TODAY(),"Fecha futura",IF(IFERROR(VLOOKUP(E139,LISTAS!$A$2:$C$65,3,FALSE),"")&lt;&gt;D139,"La subregión no corresponde al municipio",IF(IF(L139="",FALSE,OR(L139&lt;0,L139&gt;110)),"Edad fuera de rango",IF((V139="Sí")+(W139="Sí")+(X139="Sí")+(Y139="Sí")=0,"Marque al menos un tipo de violencia","OK")))))))</f>
        <v/>
      </c>
    </row>
    <row r="140">
      <c r="A140" s="12">
        <f>IF(OR(F140="",F140="Revisar",C140=""),"",F140&amp;"-"&amp;C140&amp;"-"&amp;TEXT(COUNTIFS($F$2:F140,F140,$C$2:C140,C140),"0000"))</f>
        <v/>
      </c>
      <c r="B140" s="13" t="n"/>
      <c r="C140" s="12">
        <f>IF(ISNUMBER(B140),YEAR(B140),"")</f>
        <v/>
      </c>
      <c r="D140" s="14" t="n"/>
      <c r="E140" s="14" t="n"/>
      <c r="F140" s="12">
        <f>IF(E140="","",IFERROR(VLOOKUP(E140,LISTAS!$A$2:$C$65,2,FALSE),"Revisar"))</f>
        <v/>
      </c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2">
        <f>IF(COUNTA(B140:B140)+COUNTA(D140:E140)+COUNTA(G140:AJ140)=0,"",IF(COUNTBLANK(B140:B140)+COUNTBLANK(D140:E140)+COUNTBLANK(G140:G140)+COUNTBLANK(O140:AJ140)&gt;0,"Faltan "&amp;(COUNTBLANK(B140:B140)+COUNTBLANK(D140:E140)+COUNTBLANK(G140:G140)+COUNTBLANK(O140:AJ140))&amp;" datos obligatorios",IF(NOT(ISNUMBER(B140)),"Fecha no válida",IF(N(B140)&gt;TODAY(),"Fecha futura",IF(IFERROR(VLOOKUP(E140,LISTAS!$A$2:$C$65,3,FALSE),"")&lt;&gt;D140,"La subregión no corresponde al municipio",IF(IF(L140="",FALSE,OR(L140&lt;0,L140&gt;110)),"Edad fuera de rango",IF((V140="Sí")+(W140="Sí")+(X140="Sí")+(Y140="Sí")=0,"Marque al menos un tipo de violencia","OK")))))))</f>
        <v/>
      </c>
    </row>
    <row r="141">
      <c r="A141" s="12">
        <f>IF(OR(F141="",F141="Revisar",C141=""),"",F141&amp;"-"&amp;C141&amp;"-"&amp;TEXT(COUNTIFS($F$2:F141,F141,$C$2:C141,C141),"0000"))</f>
        <v/>
      </c>
      <c r="B141" s="13" t="n"/>
      <c r="C141" s="12">
        <f>IF(ISNUMBER(B141),YEAR(B141),"")</f>
        <v/>
      </c>
      <c r="D141" s="14" t="n"/>
      <c r="E141" s="14" t="n"/>
      <c r="F141" s="12">
        <f>IF(E141="","",IFERROR(VLOOKUP(E141,LISTAS!$A$2:$C$65,2,FALSE),"Revisar"))</f>
        <v/>
      </c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2">
        <f>IF(COUNTA(B141:B141)+COUNTA(D141:E141)+COUNTA(G141:AJ141)=0,"",IF(COUNTBLANK(B141:B141)+COUNTBLANK(D141:E141)+COUNTBLANK(G141:G141)+COUNTBLANK(O141:AJ141)&gt;0,"Faltan "&amp;(COUNTBLANK(B141:B141)+COUNTBLANK(D141:E141)+COUNTBLANK(G141:G141)+COUNTBLANK(O141:AJ141))&amp;" datos obligatorios",IF(NOT(ISNUMBER(B141)),"Fecha no válida",IF(N(B141)&gt;TODAY(),"Fecha futura",IF(IFERROR(VLOOKUP(E141,LISTAS!$A$2:$C$65,3,FALSE),"")&lt;&gt;D141,"La subregión no corresponde al municipio",IF(IF(L141="",FALSE,OR(L141&lt;0,L141&gt;110)),"Edad fuera de rango",IF((V141="Sí")+(W141="Sí")+(X141="Sí")+(Y141="Sí")=0,"Marque al menos un tipo de violencia","OK")))))))</f>
        <v/>
      </c>
    </row>
    <row r="142">
      <c r="A142" s="12">
        <f>IF(OR(F142="",F142="Revisar",C142=""),"",F142&amp;"-"&amp;C142&amp;"-"&amp;TEXT(COUNTIFS($F$2:F142,F142,$C$2:C142,C142),"0000"))</f>
        <v/>
      </c>
      <c r="B142" s="13" t="n"/>
      <c r="C142" s="12">
        <f>IF(ISNUMBER(B142),YEAR(B142),"")</f>
        <v/>
      </c>
      <c r="D142" s="14" t="n"/>
      <c r="E142" s="14" t="n"/>
      <c r="F142" s="12">
        <f>IF(E142="","",IFERROR(VLOOKUP(E142,LISTAS!$A$2:$C$65,2,FALSE),"Revisar"))</f>
        <v/>
      </c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2">
        <f>IF(COUNTA(B142:B142)+COUNTA(D142:E142)+COUNTA(G142:AJ142)=0,"",IF(COUNTBLANK(B142:B142)+COUNTBLANK(D142:E142)+COUNTBLANK(G142:G142)+COUNTBLANK(O142:AJ142)&gt;0,"Faltan "&amp;(COUNTBLANK(B142:B142)+COUNTBLANK(D142:E142)+COUNTBLANK(G142:G142)+COUNTBLANK(O142:AJ142))&amp;" datos obligatorios",IF(NOT(ISNUMBER(B142)),"Fecha no válida",IF(N(B142)&gt;TODAY(),"Fecha futura",IF(IFERROR(VLOOKUP(E142,LISTAS!$A$2:$C$65,3,FALSE),"")&lt;&gt;D142,"La subregión no corresponde al municipio",IF(IF(L142="",FALSE,OR(L142&lt;0,L142&gt;110)),"Edad fuera de rango",IF((V142="Sí")+(W142="Sí")+(X142="Sí")+(Y142="Sí")=0,"Marque al menos un tipo de violencia","OK")))))))</f>
        <v/>
      </c>
    </row>
    <row r="143">
      <c r="A143" s="12">
        <f>IF(OR(F143="",F143="Revisar",C143=""),"",F143&amp;"-"&amp;C143&amp;"-"&amp;TEXT(COUNTIFS($F$2:F143,F143,$C$2:C143,C143),"0000"))</f>
        <v/>
      </c>
      <c r="B143" s="13" t="n"/>
      <c r="C143" s="12">
        <f>IF(ISNUMBER(B143),YEAR(B143),"")</f>
        <v/>
      </c>
      <c r="D143" s="14" t="n"/>
      <c r="E143" s="14" t="n"/>
      <c r="F143" s="12">
        <f>IF(E143="","",IFERROR(VLOOKUP(E143,LISTAS!$A$2:$C$65,2,FALSE),"Revisar"))</f>
        <v/>
      </c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2">
        <f>IF(COUNTA(B143:B143)+COUNTA(D143:E143)+COUNTA(G143:AJ143)=0,"",IF(COUNTBLANK(B143:B143)+COUNTBLANK(D143:E143)+COUNTBLANK(G143:G143)+COUNTBLANK(O143:AJ143)&gt;0,"Faltan "&amp;(COUNTBLANK(B143:B143)+COUNTBLANK(D143:E143)+COUNTBLANK(G143:G143)+COUNTBLANK(O143:AJ143))&amp;" datos obligatorios",IF(NOT(ISNUMBER(B143)),"Fecha no válida",IF(N(B143)&gt;TODAY(),"Fecha futura",IF(IFERROR(VLOOKUP(E143,LISTAS!$A$2:$C$65,3,FALSE),"")&lt;&gt;D143,"La subregión no corresponde al municipio",IF(IF(L143="",FALSE,OR(L143&lt;0,L143&gt;110)),"Edad fuera de rango",IF((V143="Sí")+(W143="Sí")+(X143="Sí")+(Y143="Sí")=0,"Marque al menos un tipo de violencia","OK")))))))</f>
        <v/>
      </c>
    </row>
    <row r="144">
      <c r="A144" s="12">
        <f>IF(OR(F144="",F144="Revisar",C144=""),"",F144&amp;"-"&amp;C144&amp;"-"&amp;TEXT(COUNTIFS($F$2:F144,F144,$C$2:C144,C144),"0000"))</f>
        <v/>
      </c>
      <c r="B144" s="13" t="n"/>
      <c r="C144" s="12">
        <f>IF(ISNUMBER(B144),YEAR(B144),"")</f>
        <v/>
      </c>
      <c r="D144" s="14" t="n"/>
      <c r="E144" s="14" t="n"/>
      <c r="F144" s="12">
        <f>IF(E144="","",IFERROR(VLOOKUP(E144,LISTAS!$A$2:$C$65,2,FALSE),"Revisar"))</f>
        <v/>
      </c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2">
        <f>IF(COUNTA(B144:B144)+COUNTA(D144:E144)+COUNTA(G144:AJ144)=0,"",IF(COUNTBLANK(B144:B144)+COUNTBLANK(D144:E144)+COUNTBLANK(G144:G144)+COUNTBLANK(O144:AJ144)&gt;0,"Faltan "&amp;(COUNTBLANK(B144:B144)+COUNTBLANK(D144:E144)+COUNTBLANK(G144:G144)+COUNTBLANK(O144:AJ144))&amp;" datos obligatorios",IF(NOT(ISNUMBER(B144)),"Fecha no válida",IF(N(B144)&gt;TODAY(),"Fecha futura",IF(IFERROR(VLOOKUP(E144,LISTAS!$A$2:$C$65,3,FALSE),"")&lt;&gt;D144,"La subregión no corresponde al municipio",IF(IF(L144="",FALSE,OR(L144&lt;0,L144&gt;110)),"Edad fuera de rango",IF((V144="Sí")+(W144="Sí")+(X144="Sí")+(Y144="Sí")=0,"Marque al menos un tipo de violencia","OK")))))))</f>
        <v/>
      </c>
    </row>
    <row r="145">
      <c r="A145" s="12">
        <f>IF(OR(F145="",F145="Revisar",C145=""),"",F145&amp;"-"&amp;C145&amp;"-"&amp;TEXT(COUNTIFS($F$2:F145,F145,$C$2:C145,C145),"0000"))</f>
        <v/>
      </c>
      <c r="B145" s="13" t="n"/>
      <c r="C145" s="12">
        <f>IF(ISNUMBER(B145),YEAR(B145),"")</f>
        <v/>
      </c>
      <c r="D145" s="14" t="n"/>
      <c r="E145" s="14" t="n"/>
      <c r="F145" s="12">
        <f>IF(E145="","",IFERROR(VLOOKUP(E145,LISTAS!$A$2:$C$65,2,FALSE),"Revisar"))</f>
        <v/>
      </c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2">
        <f>IF(COUNTA(B145:B145)+COUNTA(D145:E145)+COUNTA(G145:AJ145)=0,"",IF(COUNTBLANK(B145:B145)+COUNTBLANK(D145:E145)+COUNTBLANK(G145:G145)+COUNTBLANK(O145:AJ145)&gt;0,"Faltan "&amp;(COUNTBLANK(B145:B145)+COUNTBLANK(D145:E145)+COUNTBLANK(G145:G145)+COUNTBLANK(O145:AJ145))&amp;" datos obligatorios",IF(NOT(ISNUMBER(B145)),"Fecha no válida",IF(N(B145)&gt;TODAY(),"Fecha futura",IF(IFERROR(VLOOKUP(E145,LISTAS!$A$2:$C$65,3,FALSE),"")&lt;&gt;D145,"La subregión no corresponde al municipio",IF(IF(L145="",FALSE,OR(L145&lt;0,L145&gt;110)),"Edad fuera de rango",IF((V145="Sí")+(W145="Sí")+(X145="Sí")+(Y145="Sí")=0,"Marque al menos un tipo de violencia","OK")))))))</f>
        <v/>
      </c>
    </row>
    <row r="146">
      <c r="A146" s="12">
        <f>IF(OR(F146="",F146="Revisar",C146=""),"",F146&amp;"-"&amp;C146&amp;"-"&amp;TEXT(COUNTIFS($F$2:F146,F146,$C$2:C146,C146),"0000"))</f>
        <v/>
      </c>
      <c r="B146" s="13" t="n"/>
      <c r="C146" s="12">
        <f>IF(ISNUMBER(B146),YEAR(B146),"")</f>
        <v/>
      </c>
      <c r="D146" s="14" t="n"/>
      <c r="E146" s="14" t="n"/>
      <c r="F146" s="12">
        <f>IF(E146="","",IFERROR(VLOOKUP(E146,LISTAS!$A$2:$C$65,2,FALSE),"Revisar"))</f>
        <v/>
      </c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2">
        <f>IF(COUNTA(B146:B146)+COUNTA(D146:E146)+COUNTA(G146:AJ146)=0,"",IF(COUNTBLANK(B146:B146)+COUNTBLANK(D146:E146)+COUNTBLANK(G146:G146)+COUNTBLANK(O146:AJ146)&gt;0,"Faltan "&amp;(COUNTBLANK(B146:B146)+COUNTBLANK(D146:E146)+COUNTBLANK(G146:G146)+COUNTBLANK(O146:AJ146))&amp;" datos obligatorios",IF(NOT(ISNUMBER(B146)),"Fecha no válida",IF(N(B146)&gt;TODAY(),"Fecha futura",IF(IFERROR(VLOOKUP(E146,LISTAS!$A$2:$C$65,3,FALSE),"")&lt;&gt;D146,"La subregión no corresponde al municipio",IF(IF(L146="",FALSE,OR(L146&lt;0,L146&gt;110)),"Edad fuera de rango",IF((V146="Sí")+(W146="Sí")+(X146="Sí")+(Y146="Sí")=0,"Marque al menos un tipo de violencia","OK")))))))</f>
        <v/>
      </c>
    </row>
    <row r="147">
      <c r="A147" s="12">
        <f>IF(OR(F147="",F147="Revisar",C147=""),"",F147&amp;"-"&amp;C147&amp;"-"&amp;TEXT(COUNTIFS($F$2:F147,F147,$C$2:C147,C147),"0000"))</f>
        <v/>
      </c>
      <c r="B147" s="13" t="n"/>
      <c r="C147" s="12">
        <f>IF(ISNUMBER(B147),YEAR(B147),"")</f>
        <v/>
      </c>
      <c r="D147" s="14" t="n"/>
      <c r="E147" s="14" t="n"/>
      <c r="F147" s="12">
        <f>IF(E147="","",IFERROR(VLOOKUP(E147,LISTAS!$A$2:$C$65,2,FALSE),"Revisar"))</f>
        <v/>
      </c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2">
        <f>IF(COUNTA(B147:B147)+COUNTA(D147:E147)+COUNTA(G147:AJ147)=0,"",IF(COUNTBLANK(B147:B147)+COUNTBLANK(D147:E147)+COUNTBLANK(G147:G147)+COUNTBLANK(O147:AJ147)&gt;0,"Faltan "&amp;(COUNTBLANK(B147:B147)+COUNTBLANK(D147:E147)+COUNTBLANK(G147:G147)+COUNTBLANK(O147:AJ147))&amp;" datos obligatorios",IF(NOT(ISNUMBER(B147)),"Fecha no válida",IF(N(B147)&gt;TODAY(),"Fecha futura",IF(IFERROR(VLOOKUP(E147,LISTAS!$A$2:$C$65,3,FALSE),"")&lt;&gt;D147,"La subregión no corresponde al municipio",IF(IF(L147="",FALSE,OR(L147&lt;0,L147&gt;110)),"Edad fuera de rango",IF((V147="Sí")+(W147="Sí")+(X147="Sí")+(Y147="Sí")=0,"Marque al menos un tipo de violencia","OK")))))))</f>
        <v/>
      </c>
    </row>
    <row r="148">
      <c r="A148" s="12">
        <f>IF(OR(F148="",F148="Revisar",C148=""),"",F148&amp;"-"&amp;C148&amp;"-"&amp;TEXT(COUNTIFS($F$2:F148,F148,$C$2:C148,C148),"0000"))</f>
        <v/>
      </c>
      <c r="B148" s="13" t="n"/>
      <c r="C148" s="12">
        <f>IF(ISNUMBER(B148),YEAR(B148),"")</f>
        <v/>
      </c>
      <c r="D148" s="14" t="n"/>
      <c r="E148" s="14" t="n"/>
      <c r="F148" s="12">
        <f>IF(E148="","",IFERROR(VLOOKUP(E148,LISTAS!$A$2:$C$65,2,FALSE),"Revisar"))</f>
        <v/>
      </c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2">
        <f>IF(COUNTA(B148:B148)+COUNTA(D148:E148)+COUNTA(G148:AJ148)=0,"",IF(COUNTBLANK(B148:B148)+COUNTBLANK(D148:E148)+COUNTBLANK(G148:G148)+COUNTBLANK(O148:AJ148)&gt;0,"Faltan "&amp;(COUNTBLANK(B148:B148)+COUNTBLANK(D148:E148)+COUNTBLANK(G148:G148)+COUNTBLANK(O148:AJ148))&amp;" datos obligatorios",IF(NOT(ISNUMBER(B148)),"Fecha no válida",IF(N(B148)&gt;TODAY(),"Fecha futura",IF(IFERROR(VLOOKUP(E148,LISTAS!$A$2:$C$65,3,FALSE),"")&lt;&gt;D148,"La subregión no corresponde al municipio",IF(IF(L148="",FALSE,OR(L148&lt;0,L148&gt;110)),"Edad fuera de rango",IF((V148="Sí")+(W148="Sí")+(X148="Sí")+(Y148="Sí")=0,"Marque al menos un tipo de violencia","OK")))))))</f>
        <v/>
      </c>
    </row>
    <row r="149">
      <c r="A149" s="12">
        <f>IF(OR(F149="",F149="Revisar",C149=""),"",F149&amp;"-"&amp;C149&amp;"-"&amp;TEXT(COUNTIFS($F$2:F149,F149,$C$2:C149,C149),"0000"))</f>
        <v/>
      </c>
      <c r="B149" s="13" t="n"/>
      <c r="C149" s="12">
        <f>IF(ISNUMBER(B149),YEAR(B149),"")</f>
        <v/>
      </c>
      <c r="D149" s="14" t="n"/>
      <c r="E149" s="14" t="n"/>
      <c r="F149" s="12">
        <f>IF(E149="","",IFERROR(VLOOKUP(E149,LISTAS!$A$2:$C$65,2,FALSE),"Revisar"))</f>
        <v/>
      </c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2">
        <f>IF(COUNTA(B149:B149)+COUNTA(D149:E149)+COUNTA(G149:AJ149)=0,"",IF(COUNTBLANK(B149:B149)+COUNTBLANK(D149:E149)+COUNTBLANK(G149:G149)+COUNTBLANK(O149:AJ149)&gt;0,"Faltan "&amp;(COUNTBLANK(B149:B149)+COUNTBLANK(D149:E149)+COUNTBLANK(G149:G149)+COUNTBLANK(O149:AJ149))&amp;" datos obligatorios",IF(NOT(ISNUMBER(B149)),"Fecha no válida",IF(N(B149)&gt;TODAY(),"Fecha futura",IF(IFERROR(VLOOKUP(E149,LISTAS!$A$2:$C$65,3,FALSE),"")&lt;&gt;D149,"La subregión no corresponde al municipio",IF(IF(L149="",FALSE,OR(L149&lt;0,L149&gt;110)),"Edad fuera de rango",IF((V149="Sí")+(W149="Sí")+(X149="Sí")+(Y149="Sí")=0,"Marque al menos un tipo de violencia","OK")))))))</f>
        <v/>
      </c>
    </row>
    <row r="150">
      <c r="A150" s="12">
        <f>IF(OR(F150="",F150="Revisar",C150=""),"",F150&amp;"-"&amp;C150&amp;"-"&amp;TEXT(COUNTIFS($F$2:F150,F150,$C$2:C150,C150),"0000"))</f>
        <v/>
      </c>
      <c r="B150" s="13" t="n"/>
      <c r="C150" s="12">
        <f>IF(ISNUMBER(B150),YEAR(B150),"")</f>
        <v/>
      </c>
      <c r="D150" s="14" t="n"/>
      <c r="E150" s="14" t="n"/>
      <c r="F150" s="12">
        <f>IF(E150="","",IFERROR(VLOOKUP(E150,LISTAS!$A$2:$C$65,2,FALSE),"Revisar"))</f>
        <v/>
      </c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2">
        <f>IF(COUNTA(B150:B150)+COUNTA(D150:E150)+COUNTA(G150:AJ150)=0,"",IF(COUNTBLANK(B150:B150)+COUNTBLANK(D150:E150)+COUNTBLANK(G150:G150)+COUNTBLANK(O150:AJ150)&gt;0,"Faltan "&amp;(COUNTBLANK(B150:B150)+COUNTBLANK(D150:E150)+COUNTBLANK(G150:G150)+COUNTBLANK(O150:AJ150))&amp;" datos obligatorios",IF(NOT(ISNUMBER(B150)),"Fecha no válida",IF(N(B150)&gt;TODAY(),"Fecha futura",IF(IFERROR(VLOOKUP(E150,LISTAS!$A$2:$C$65,3,FALSE),"")&lt;&gt;D150,"La subregión no corresponde al municipio",IF(IF(L150="",FALSE,OR(L150&lt;0,L150&gt;110)),"Edad fuera de rango",IF((V150="Sí")+(W150="Sí")+(X150="Sí")+(Y150="Sí")=0,"Marque al menos un tipo de violencia","OK")))))))</f>
        <v/>
      </c>
    </row>
    <row r="151">
      <c r="A151" s="12">
        <f>IF(OR(F151="",F151="Revisar",C151=""),"",F151&amp;"-"&amp;C151&amp;"-"&amp;TEXT(COUNTIFS($F$2:F151,F151,$C$2:C151,C151),"0000"))</f>
        <v/>
      </c>
      <c r="B151" s="13" t="n"/>
      <c r="C151" s="12">
        <f>IF(ISNUMBER(B151),YEAR(B151),"")</f>
        <v/>
      </c>
      <c r="D151" s="14" t="n"/>
      <c r="E151" s="14" t="n"/>
      <c r="F151" s="12">
        <f>IF(E151="","",IFERROR(VLOOKUP(E151,LISTAS!$A$2:$C$65,2,FALSE),"Revisar"))</f>
        <v/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2">
        <f>IF(COUNTA(B151:B151)+COUNTA(D151:E151)+COUNTA(G151:AJ151)=0,"",IF(COUNTBLANK(B151:B151)+COUNTBLANK(D151:E151)+COUNTBLANK(G151:G151)+COUNTBLANK(O151:AJ151)&gt;0,"Faltan "&amp;(COUNTBLANK(B151:B151)+COUNTBLANK(D151:E151)+COUNTBLANK(G151:G151)+COUNTBLANK(O151:AJ151))&amp;" datos obligatorios",IF(NOT(ISNUMBER(B151)),"Fecha no válida",IF(N(B151)&gt;TODAY(),"Fecha futura",IF(IFERROR(VLOOKUP(E151,LISTAS!$A$2:$C$65,3,FALSE),"")&lt;&gt;D151,"La subregión no corresponde al municipio",IF(IF(L151="",FALSE,OR(L151&lt;0,L151&gt;110)),"Edad fuera de rango",IF((V151="Sí")+(W151="Sí")+(X151="Sí")+(Y151="Sí")=0,"Marque al menos un tipo de violencia","OK")))))))</f>
        <v/>
      </c>
    </row>
    <row r="152">
      <c r="A152" s="12">
        <f>IF(OR(F152="",F152="Revisar",C152=""),"",F152&amp;"-"&amp;C152&amp;"-"&amp;TEXT(COUNTIFS($F$2:F152,F152,$C$2:C152,C152),"0000"))</f>
        <v/>
      </c>
      <c r="B152" s="13" t="n"/>
      <c r="C152" s="12">
        <f>IF(ISNUMBER(B152),YEAR(B152),"")</f>
        <v/>
      </c>
      <c r="D152" s="14" t="n"/>
      <c r="E152" s="14" t="n"/>
      <c r="F152" s="12">
        <f>IF(E152="","",IFERROR(VLOOKUP(E152,LISTAS!$A$2:$C$65,2,FALSE),"Revisar"))</f>
        <v/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2">
        <f>IF(COUNTA(B152:B152)+COUNTA(D152:E152)+COUNTA(G152:AJ152)=0,"",IF(COUNTBLANK(B152:B152)+COUNTBLANK(D152:E152)+COUNTBLANK(G152:G152)+COUNTBLANK(O152:AJ152)&gt;0,"Faltan "&amp;(COUNTBLANK(B152:B152)+COUNTBLANK(D152:E152)+COUNTBLANK(G152:G152)+COUNTBLANK(O152:AJ152))&amp;" datos obligatorios",IF(NOT(ISNUMBER(B152)),"Fecha no válida",IF(N(B152)&gt;TODAY(),"Fecha futura",IF(IFERROR(VLOOKUP(E152,LISTAS!$A$2:$C$65,3,FALSE),"")&lt;&gt;D152,"La subregión no corresponde al municipio",IF(IF(L152="",FALSE,OR(L152&lt;0,L152&gt;110)),"Edad fuera de rango",IF((V152="Sí")+(W152="Sí")+(X152="Sí")+(Y152="Sí")=0,"Marque al menos un tipo de violencia","OK")))))))</f>
        <v/>
      </c>
    </row>
    <row r="153">
      <c r="A153" s="12">
        <f>IF(OR(F153="",F153="Revisar",C153=""),"",F153&amp;"-"&amp;C153&amp;"-"&amp;TEXT(COUNTIFS($F$2:F153,F153,$C$2:C153,C153),"0000"))</f>
        <v/>
      </c>
      <c r="B153" s="13" t="n"/>
      <c r="C153" s="12">
        <f>IF(ISNUMBER(B153),YEAR(B153),"")</f>
        <v/>
      </c>
      <c r="D153" s="14" t="n"/>
      <c r="E153" s="14" t="n"/>
      <c r="F153" s="12">
        <f>IF(E153="","",IFERROR(VLOOKUP(E153,LISTAS!$A$2:$C$65,2,FALSE),"Revisar"))</f>
        <v/>
      </c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2">
        <f>IF(COUNTA(B153:B153)+COUNTA(D153:E153)+COUNTA(G153:AJ153)=0,"",IF(COUNTBLANK(B153:B153)+COUNTBLANK(D153:E153)+COUNTBLANK(G153:G153)+COUNTBLANK(O153:AJ153)&gt;0,"Faltan "&amp;(COUNTBLANK(B153:B153)+COUNTBLANK(D153:E153)+COUNTBLANK(G153:G153)+COUNTBLANK(O153:AJ153))&amp;" datos obligatorios",IF(NOT(ISNUMBER(B153)),"Fecha no válida",IF(N(B153)&gt;TODAY(),"Fecha futura",IF(IFERROR(VLOOKUP(E153,LISTAS!$A$2:$C$65,3,FALSE),"")&lt;&gt;D153,"La subregión no corresponde al municipio",IF(IF(L153="",FALSE,OR(L153&lt;0,L153&gt;110)),"Edad fuera de rango",IF((V153="Sí")+(W153="Sí")+(X153="Sí")+(Y153="Sí")=0,"Marque al menos un tipo de violencia","OK")))))))</f>
        <v/>
      </c>
    </row>
    <row r="154">
      <c r="A154" s="12">
        <f>IF(OR(F154="",F154="Revisar",C154=""),"",F154&amp;"-"&amp;C154&amp;"-"&amp;TEXT(COUNTIFS($F$2:F154,F154,$C$2:C154,C154),"0000"))</f>
        <v/>
      </c>
      <c r="B154" s="13" t="n"/>
      <c r="C154" s="12">
        <f>IF(ISNUMBER(B154),YEAR(B154),"")</f>
        <v/>
      </c>
      <c r="D154" s="14" t="n"/>
      <c r="E154" s="14" t="n"/>
      <c r="F154" s="12">
        <f>IF(E154="","",IFERROR(VLOOKUP(E154,LISTAS!$A$2:$C$65,2,FALSE),"Revisar"))</f>
        <v/>
      </c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2">
        <f>IF(COUNTA(B154:B154)+COUNTA(D154:E154)+COUNTA(G154:AJ154)=0,"",IF(COUNTBLANK(B154:B154)+COUNTBLANK(D154:E154)+COUNTBLANK(G154:G154)+COUNTBLANK(O154:AJ154)&gt;0,"Faltan "&amp;(COUNTBLANK(B154:B154)+COUNTBLANK(D154:E154)+COUNTBLANK(G154:G154)+COUNTBLANK(O154:AJ154))&amp;" datos obligatorios",IF(NOT(ISNUMBER(B154)),"Fecha no válida",IF(N(B154)&gt;TODAY(),"Fecha futura",IF(IFERROR(VLOOKUP(E154,LISTAS!$A$2:$C$65,3,FALSE),"")&lt;&gt;D154,"La subregión no corresponde al municipio",IF(IF(L154="",FALSE,OR(L154&lt;0,L154&gt;110)),"Edad fuera de rango",IF((V154="Sí")+(W154="Sí")+(X154="Sí")+(Y154="Sí")=0,"Marque al menos un tipo de violencia","OK")))))))</f>
        <v/>
      </c>
    </row>
    <row r="155">
      <c r="A155" s="12">
        <f>IF(OR(F155="",F155="Revisar",C155=""),"",F155&amp;"-"&amp;C155&amp;"-"&amp;TEXT(COUNTIFS($F$2:F155,F155,$C$2:C155,C155),"0000"))</f>
        <v/>
      </c>
      <c r="B155" s="13" t="n"/>
      <c r="C155" s="12">
        <f>IF(ISNUMBER(B155),YEAR(B155),"")</f>
        <v/>
      </c>
      <c r="D155" s="14" t="n"/>
      <c r="E155" s="14" t="n"/>
      <c r="F155" s="12">
        <f>IF(E155="","",IFERROR(VLOOKUP(E155,LISTAS!$A$2:$C$65,2,FALSE),"Revisar"))</f>
        <v/>
      </c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2">
        <f>IF(COUNTA(B155:B155)+COUNTA(D155:E155)+COUNTA(G155:AJ155)=0,"",IF(COUNTBLANK(B155:B155)+COUNTBLANK(D155:E155)+COUNTBLANK(G155:G155)+COUNTBLANK(O155:AJ155)&gt;0,"Faltan "&amp;(COUNTBLANK(B155:B155)+COUNTBLANK(D155:E155)+COUNTBLANK(G155:G155)+COUNTBLANK(O155:AJ155))&amp;" datos obligatorios",IF(NOT(ISNUMBER(B155)),"Fecha no válida",IF(N(B155)&gt;TODAY(),"Fecha futura",IF(IFERROR(VLOOKUP(E155,LISTAS!$A$2:$C$65,3,FALSE),"")&lt;&gt;D155,"La subregión no corresponde al municipio",IF(IF(L155="",FALSE,OR(L155&lt;0,L155&gt;110)),"Edad fuera de rango",IF((V155="Sí")+(W155="Sí")+(X155="Sí")+(Y155="Sí")=0,"Marque al menos un tipo de violencia","OK")))))))</f>
        <v/>
      </c>
    </row>
    <row r="156">
      <c r="A156" s="12">
        <f>IF(OR(F156="",F156="Revisar",C156=""),"",F156&amp;"-"&amp;C156&amp;"-"&amp;TEXT(COUNTIFS($F$2:F156,F156,$C$2:C156,C156),"0000"))</f>
        <v/>
      </c>
      <c r="B156" s="13" t="n"/>
      <c r="C156" s="12">
        <f>IF(ISNUMBER(B156),YEAR(B156),"")</f>
        <v/>
      </c>
      <c r="D156" s="14" t="n"/>
      <c r="E156" s="14" t="n"/>
      <c r="F156" s="12">
        <f>IF(E156="","",IFERROR(VLOOKUP(E156,LISTAS!$A$2:$C$65,2,FALSE),"Revisar"))</f>
        <v/>
      </c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2">
        <f>IF(COUNTA(B156:B156)+COUNTA(D156:E156)+COUNTA(G156:AJ156)=0,"",IF(COUNTBLANK(B156:B156)+COUNTBLANK(D156:E156)+COUNTBLANK(G156:G156)+COUNTBLANK(O156:AJ156)&gt;0,"Faltan "&amp;(COUNTBLANK(B156:B156)+COUNTBLANK(D156:E156)+COUNTBLANK(G156:G156)+COUNTBLANK(O156:AJ156))&amp;" datos obligatorios",IF(NOT(ISNUMBER(B156)),"Fecha no válida",IF(N(B156)&gt;TODAY(),"Fecha futura",IF(IFERROR(VLOOKUP(E156,LISTAS!$A$2:$C$65,3,FALSE),"")&lt;&gt;D156,"La subregión no corresponde al municipio",IF(IF(L156="",FALSE,OR(L156&lt;0,L156&gt;110)),"Edad fuera de rango",IF((V156="Sí")+(W156="Sí")+(X156="Sí")+(Y156="Sí")=0,"Marque al menos un tipo de violencia","OK")))))))</f>
        <v/>
      </c>
    </row>
    <row r="157">
      <c r="A157" s="12">
        <f>IF(OR(F157="",F157="Revisar",C157=""),"",F157&amp;"-"&amp;C157&amp;"-"&amp;TEXT(COUNTIFS($F$2:F157,F157,$C$2:C157,C157),"0000"))</f>
        <v/>
      </c>
      <c r="B157" s="13" t="n"/>
      <c r="C157" s="12">
        <f>IF(ISNUMBER(B157),YEAR(B157),"")</f>
        <v/>
      </c>
      <c r="D157" s="14" t="n"/>
      <c r="E157" s="14" t="n"/>
      <c r="F157" s="12">
        <f>IF(E157="","",IFERROR(VLOOKUP(E157,LISTAS!$A$2:$C$65,2,FALSE),"Revisar"))</f>
        <v/>
      </c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2">
        <f>IF(COUNTA(B157:B157)+COUNTA(D157:E157)+COUNTA(G157:AJ157)=0,"",IF(COUNTBLANK(B157:B157)+COUNTBLANK(D157:E157)+COUNTBLANK(G157:G157)+COUNTBLANK(O157:AJ157)&gt;0,"Faltan "&amp;(COUNTBLANK(B157:B157)+COUNTBLANK(D157:E157)+COUNTBLANK(G157:G157)+COUNTBLANK(O157:AJ157))&amp;" datos obligatorios",IF(NOT(ISNUMBER(B157)),"Fecha no válida",IF(N(B157)&gt;TODAY(),"Fecha futura",IF(IFERROR(VLOOKUP(E157,LISTAS!$A$2:$C$65,3,FALSE),"")&lt;&gt;D157,"La subregión no corresponde al municipio",IF(IF(L157="",FALSE,OR(L157&lt;0,L157&gt;110)),"Edad fuera de rango",IF((V157="Sí")+(W157="Sí")+(X157="Sí")+(Y157="Sí")=0,"Marque al menos un tipo de violencia","OK")))))))</f>
        <v/>
      </c>
    </row>
    <row r="158">
      <c r="A158" s="12">
        <f>IF(OR(F158="",F158="Revisar",C158=""),"",F158&amp;"-"&amp;C158&amp;"-"&amp;TEXT(COUNTIFS($F$2:F158,F158,$C$2:C158,C158),"0000"))</f>
        <v/>
      </c>
      <c r="B158" s="13" t="n"/>
      <c r="C158" s="12">
        <f>IF(ISNUMBER(B158),YEAR(B158),"")</f>
        <v/>
      </c>
      <c r="D158" s="14" t="n"/>
      <c r="E158" s="14" t="n"/>
      <c r="F158" s="12">
        <f>IF(E158="","",IFERROR(VLOOKUP(E158,LISTAS!$A$2:$C$65,2,FALSE),"Revisar"))</f>
        <v/>
      </c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2">
        <f>IF(COUNTA(B158:B158)+COUNTA(D158:E158)+COUNTA(G158:AJ158)=0,"",IF(COUNTBLANK(B158:B158)+COUNTBLANK(D158:E158)+COUNTBLANK(G158:G158)+COUNTBLANK(O158:AJ158)&gt;0,"Faltan "&amp;(COUNTBLANK(B158:B158)+COUNTBLANK(D158:E158)+COUNTBLANK(G158:G158)+COUNTBLANK(O158:AJ158))&amp;" datos obligatorios",IF(NOT(ISNUMBER(B158)),"Fecha no válida",IF(N(B158)&gt;TODAY(),"Fecha futura",IF(IFERROR(VLOOKUP(E158,LISTAS!$A$2:$C$65,3,FALSE),"")&lt;&gt;D158,"La subregión no corresponde al municipio",IF(IF(L158="",FALSE,OR(L158&lt;0,L158&gt;110)),"Edad fuera de rango",IF((V158="Sí")+(W158="Sí")+(X158="Sí")+(Y158="Sí")=0,"Marque al menos un tipo de violencia","OK")))))))</f>
        <v/>
      </c>
    </row>
    <row r="159">
      <c r="A159" s="12">
        <f>IF(OR(F159="",F159="Revisar",C159=""),"",F159&amp;"-"&amp;C159&amp;"-"&amp;TEXT(COUNTIFS($F$2:F159,F159,$C$2:C159,C159),"0000"))</f>
        <v/>
      </c>
      <c r="B159" s="13" t="n"/>
      <c r="C159" s="12">
        <f>IF(ISNUMBER(B159),YEAR(B159),"")</f>
        <v/>
      </c>
      <c r="D159" s="14" t="n"/>
      <c r="E159" s="14" t="n"/>
      <c r="F159" s="12">
        <f>IF(E159="","",IFERROR(VLOOKUP(E159,LISTAS!$A$2:$C$65,2,FALSE),"Revisar"))</f>
        <v/>
      </c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2">
        <f>IF(COUNTA(B159:B159)+COUNTA(D159:E159)+COUNTA(G159:AJ159)=0,"",IF(COUNTBLANK(B159:B159)+COUNTBLANK(D159:E159)+COUNTBLANK(G159:G159)+COUNTBLANK(O159:AJ159)&gt;0,"Faltan "&amp;(COUNTBLANK(B159:B159)+COUNTBLANK(D159:E159)+COUNTBLANK(G159:G159)+COUNTBLANK(O159:AJ159))&amp;" datos obligatorios",IF(NOT(ISNUMBER(B159)),"Fecha no válida",IF(N(B159)&gt;TODAY(),"Fecha futura",IF(IFERROR(VLOOKUP(E159,LISTAS!$A$2:$C$65,3,FALSE),"")&lt;&gt;D159,"La subregión no corresponde al municipio",IF(IF(L159="",FALSE,OR(L159&lt;0,L159&gt;110)),"Edad fuera de rango",IF((V159="Sí")+(W159="Sí")+(X159="Sí")+(Y159="Sí")=0,"Marque al menos un tipo de violencia","OK")))))))</f>
        <v/>
      </c>
    </row>
    <row r="160">
      <c r="A160" s="12">
        <f>IF(OR(F160="",F160="Revisar",C160=""),"",F160&amp;"-"&amp;C160&amp;"-"&amp;TEXT(COUNTIFS($F$2:F160,F160,$C$2:C160,C160),"0000"))</f>
        <v/>
      </c>
      <c r="B160" s="13" t="n"/>
      <c r="C160" s="12">
        <f>IF(ISNUMBER(B160),YEAR(B160),"")</f>
        <v/>
      </c>
      <c r="D160" s="14" t="n"/>
      <c r="E160" s="14" t="n"/>
      <c r="F160" s="12">
        <f>IF(E160="","",IFERROR(VLOOKUP(E160,LISTAS!$A$2:$C$65,2,FALSE),"Revisar"))</f>
        <v/>
      </c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2">
        <f>IF(COUNTA(B160:B160)+COUNTA(D160:E160)+COUNTA(G160:AJ160)=0,"",IF(COUNTBLANK(B160:B160)+COUNTBLANK(D160:E160)+COUNTBLANK(G160:G160)+COUNTBLANK(O160:AJ160)&gt;0,"Faltan "&amp;(COUNTBLANK(B160:B160)+COUNTBLANK(D160:E160)+COUNTBLANK(G160:G160)+COUNTBLANK(O160:AJ160))&amp;" datos obligatorios",IF(NOT(ISNUMBER(B160)),"Fecha no válida",IF(N(B160)&gt;TODAY(),"Fecha futura",IF(IFERROR(VLOOKUP(E160,LISTAS!$A$2:$C$65,3,FALSE),"")&lt;&gt;D160,"La subregión no corresponde al municipio",IF(IF(L160="",FALSE,OR(L160&lt;0,L160&gt;110)),"Edad fuera de rango",IF((V160="Sí")+(W160="Sí")+(X160="Sí")+(Y160="Sí")=0,"Marque al menos un tipo de violencia","OK")))))))</f>
        <v/>
      </c>
    </row>
    <row r="161">
      <c r="A161" s="12">
        <f>IF(OR(F161="",F161="Revisar",C161=""),"",F161&amp;"-"&amp;C161&amp;"-"&amp;TEXT(COUNTIFS($F$2:F161,F161,$C$2:C161,C161),"0000"))</f>
        <v/>
      </c>
      <c r="B161" s="13" t="n"/>
      <c r="C161" s="12">
        <f>IF(ISNUMBER(B161),YEAR(B161),"")</f>
        <v/>
      </c>
      <c r="D161" s="14" t="n"/>
      <c r="E161" s="14" t="n"/>
      <c r="F161" s="12">
        <f>IF(E161="","",IFERROR(VLOOKUP(E161,LISTAS!$A$2:$C$65,2,FALSE),"Revisar"))</f>
        <v/>
      </c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2">
        <f>IF(COUNTA(B161:B161)+COUNTA(D161:E161)+COUNTA(G161:AJ161)=0,"",IF(COUNTBLANK(B161:B161)+COUNTBLANK(D161:E161)+COUNTBLANK(G161:G161)+COUNTBLANK(O161:AJ161)&gt;0,"Faltan "&amp;(COUNTBLANK(B161:B161)+COUNTBLANK(D161:E161)+COUNTBLANK(G161:G161)+COUNTBLANK(O161:AJ161))&amp;" datos obligatorios",IF(NOT(ISNUMBER(B161)),"Fecha no válida",IF(N(B161)&gt;TODAY(),"Fecha futura",IF(IFERROR(VLOOKUP(E161,LISTAS!$A$2:$C$65,3,FALSE),"")&lt;&gt;D161,"La subregión no corresponde al municipio",IF(IF(L161="",FALSE,OR(L161&lt;0,L161&gt;110)),"Edad fuera de rango",IF((V161="Sí")+(W161="Sí")+(X161="Sí")+(Y161="Sí")=0,"Marque al menos un tipo de violencia","OK")))))))</f>
        <v/>
      </c>
    </row>
    <row r="162">
      <c r="A162" s="12">
        <f>IF(OR(F162="",F162="Revisar",C162=""),"",F162&amp;"-"&amp;C162&amp;"-"&amp;TEXT(COUNTIFS($F$2:F162,F162,$C$2:C162,C162),"0000"))</f>
        <v/>
      </c>
      <c r="B162" s="13" t="n"/>
      <c r="C162" s="12">
        <f>IF(ISNUMBER(B162),YEAR(B162),"")</f>
        <v/>
      </c>
      <c r="D162" s="14" t="n"/>
      <c r="E162" s="14" t="n"/>
      <c r="F162" s="12">
        <f>IF(E162="","",IFERROR(VLOOKUP(E162,LISTAS!$A$2:$C$65,2,FALSE),"Revisar"))</f>
        <v/>
      </c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2">
        <f>IF(COUNTA(B162:B162)+COUNTA(D162:E162)+COUNTA(G162:AJ162)=0,"",IF(COUNTBLANK(B162:B162)+COUNTBLANK(D162:E162)+COUNTBLANK(G162:G162)+COUNTBLANK(O162:AJ162)&gt;0,"Faltan "&amp;(COUNTBLANK(B162:B162)+COUNTBLANK(D162:E162)+COUNTBLANK(G162:G162)+COUNTBLANK(O162:AJ162))&amp;" datos obligatorios",IF(NOT(ISNUMBER(B162)),"Fecha no válida",IF(N(B162)&gt;TODAY(),"Fecha futura",IF(IFERROR(VLOOKUP(E162,LISTAS!$A$2:$C$65,3,FALSE),"")&lt;&gt;D162,"La subregión no corresponde al municipio",IF(IF(L162="",FALSE,OR(L162&lt;0,L162&gt;110)),"Edad fuera de rango",IF((V162="Sí")+(W162="Sí")+(X162="Sí")+(Y162="Sí")=0,"Marque al menos un tipo de violencia","OK")))))))</f>
        <v/>
      </c>
    </row>
    <row r="163">
      <c r="A163" s="12">
        <f>IF(OR(F163="",F163="Revisar",C163=""),"",F163&amp;"-"&amp;C163&amp;"-"&amp;TEXT(COUNTIFS($F$2:F163,F163,$C$2:C163,C163),"0000"))</f>
        <v/>
      </c>
      <c r="B163" s="13" t="n"/>
      <c r="C163" s="12">
        <f>IF(ISNUMBER(B163),YEAR(B163),"")</f>
        <v/>
      </c>
      <c r="D163" s="14" t="n"/>
      <c r="E163" s="14" t="n"/>
      <c r="F163" s="12">
        <f>IF(E163="","",IFERROR(VLOOKUP(E163,LISTAS!$A$2:$C$65,2,FALSE),"Revisar"))</f>
        <v/>
      </c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2">
        <f>IF(COUNTA(B163:B163)+COUNTA(D163:E163)+COUNTA(G163:AJ163)=0,"",IF(COUNTBLANK(B163:B163)+COUNTBLANK(D163:E163)+COUNTBLANK(G163:G163)+COUNTBLANK(O163:AJ163)&gt;0,"Faltan "&amp;(COUNTBLANK(B163:B163)+COUNTBLANK(D163:E163)+COUNTBLANK(G163:G163)+COUNTBLANK(O163:AJ163))&amp;" datos obligatorios",IF(NOT(ISNUMBER(B163)),"Fecha no válida",IF(N(B163)&gt;TODAY(),"Fecha futura",IF(IFERROR(VLOOKUP(E163,LISTAS!$A$2:$C$65,3,FALSE),"")&lt;&gt;D163,"La subregión no corresponde al municipio",IF(IF(L163="",FALSE,OR(L163&lt;0,L163&gt;110)),"Edad fuera de rango",IF((V163="Sí")+(W163="Sí")+(X163="Sí")+(Y163="Sí")=0,"Marque al menos un tipo de violencia","OK")))))))</f>
        <v/>
      </c>
    </row>
    <row r="164">
      <c r="A164" s="12">
        <f>IF(OR(F164="",F164="Revisar",C164=""),"",F164&amp;"-"&amp;C164&amp;"-"&amp;TEXT(COUNTIFS($F$2:F164,F164,$C$2:C164,C164),"0000"))</f>
        <v/>
      </c>
      <c r="B164" s="13" t="n"/>
      <c r="C164" s="12">
        <f>IF(ISNUMBER(B164),YEAR(B164),"")</f>
        <v/>
      </c>
      <c r="D164" s="14" t="n"/>
      <c r="E164" s="14" t="n"/>
      <c r="F164" s="12">
        <f>IF(E164="","",IFERROR(VLOOKUP(E164,LISTAS!$A$2:$C$65,2,FALSE),"Revisar"))</f>
        <v/>
      </c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2">
        <f>IF(COUNTA(B164:B164)+COUNTA(D164:E164)+COUNTA(G164:AJ164)=0,"",IF(COUNTBLANK(B164:B164)+COUNTBLANK(D164:E164)+COUNTBLANK(G164:G164)+COUNTBLANK(O164:AJ164)&gt;0,"Faltan "&amp;(COUNTBLANK(B164:B164)+COUNTBLANK(D164:E164)+COUNTBLANK(G164:G164)+COUNTBLANK(O164:AJ164))&amp;" datos obligatorios",IF(NOT(ISNUMBER(B164)),"Fecha no válida",IF(N(B164)&gt;TODAY(),"Fecha futura",IF(IFERROR(VLOOKUP(E164,LISTAS!$A$2:$C$65,3,FALSE),"")&lt;&gt;D164,"La subregión no corresponde al municipio",IF(IF(L164="",FALSE,OR(L164&lt;0,L164&gt;110)),"Edad fuera de rango",IF((V164="Sí")+(W164="Sí")+(X164="Sí")+(Y164="Sí")=0,"Marque al menos un tipo de violencia","OK")))))))</f>
        <v/>
      </c>
    </row>
    <row r="165">
      <c r="A165" s="12">
        <f>IF(OR(F165="",F165="Revisar",C165=""),"",F165&amp;"-"&amp;C165&amp;"-"&amp;TEXT(COUNTIFS($F$2:F165,F165,$C$2:C165,C165),"0000"))</f>
        <v/>
      </c>
      <c r="B165" s="13" t="n"/>
      <c r="C165" s="12">
        <f>IF(ISNUMBER(B165),YEAR(B165),"")</f>
        <v/>
      </c>
      <c r="D165" s="14" t="n"/>
      <c r="E165" s="14" t="n"/>
      <c r="F165" s="12">
        <f>IF(E165="","",IFERROR(VLOOKUP(E165,LISTAS!$A$2:$C$65,2,FALSE),"Revisar"))</f>
        <v/>
      </c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2">
        <f>IF(COUNTA(B165:B165)+COUNTA(D165:E165)+COUNTA(G165:AJ165)=0,"",IF(COUNTBLANK(B165:B165)+COUNTBLANK(D165:E165)+COUNTBLANK(G165:G165)+COUNTBLANK(O165:AJ165)&gt;0,"Faltan "&amp;(COUNTBLANK(B165:B165)+COUNTBLANK(D165:E165)+COUNTBLANK(G165:G165)+COUNTBLANK(O165:AJ165))&amp;" datos obligatorios",IF(NOT(ISNUMBER(B165)),"Fecha no válida",IF(N(B165)&gt;TODAY(),"Fecha futura",IF(IFERROR(VLOOKUP(E165,LISTAS!$A$2:$C$65,3,FALSE),"")&lt;&gt;D165,"La subregión no corresponde al municipio",IF(IF(L165="",FALSE,OR(L165&lt;0,L165&gt;110)),"Edad fuera de rango",IF((V165="Sí")+(W165="Sí")+(X165="Sí")+(Y165="Sí")=0,"Marque al menos un tipo de violencia","OK")))))))</f>
        <v/>
      </c>
    </row>
    <row r="166">
      <c r="A166" s="12">
        <f>IF(OR(F166="",F166="Revisar",C166=""),"",F166&amp;"-"&amp;C166&amp;"-"&amp;TEXT(COUNTIFS($F$2:F166,F166,$C$2:C166,C166),"0000"))</f>
        <v/>
      </c>
      <c r="B166" s="13" t="n"/>
      <c r="C166" s="12">
        <f>IF(ISNUMBER(B166),YEAR(B166),"")</f>
        <v/>
      </c>
      <c r="D166" s="14" t="n"/>
      <c r="E166" s="14" t="n"/>
      <c r="F166" s="12">
        <f>IF(E166="","",IFERROR(VLOOKUP(E166,LISTAS!$A$2:$C$65,2,FALSE),"Revisar"))</f>
        <v/>
      </c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2">
        <f>IF(COUNTA(B166:B166)+COUNTA(D166:E166)+COUNTA(G166:AJ166)=0,"",IF(COUNTBLANK(B166:B166)+COUNTBLANK(D166:E166)+COUNTBLANK(G166:G166)+COUNTBLANK(O166:AJ166)&gt;0,"Faltan "&amp;(COUNTBLANK(B166:B166)+COUNTBLANK(D166:E166)+COUNTBLANK(G166:G166)+COUNTBLANK(O166:AJ166))&amp;" datos obligatorios",IF(NOT(ISNUMBER(B166)),"Fecha no válida",IF(N(B166)&gt;TODAY(),"Fecha futura",IF(IFERROR(VLOOKUP(E166,LISTAS!$A$2:$C$65,3,FALSE),"")&lt;&gt;D166,"La subregión no corresponde al municipio",IF(IF(L166="",FALSE,OR(L166&lt;0,L166&gt;110)),"Edad fuera de rango",IF((V166="Sí")+(W166="Sí")+(X166="Sí")+(Y166="Sí")=0,"Marque al menos un tipo de violencia","OK")))))))</f>
        <v/>
      </c>
    </row>
    <row r="167">
      <c r="A167" s="12">
        <f>IF(OR(F167="",F167="Revisar",C167=""),"",F167&amp;"-"&amp;C167&amp;"-"&amp;TEXT(COUNTIFS($F$2:F167,F167,$C$2:C167,C167),"0000"))</f>
        <v/>
      </c>
      <c r="B167" s="13" t="n"/>
      <c r="C167" s="12">
        <f>IF(ISNUMBER(B167),YEAR(B167),"")</f>
        <v/>
      </c>
      <c r="D167" s="14" t="n"/>
      <c r="E167" s="14" t="n"/>
      <c r="F167" s="12">
        <f>IF(E167="","",IFERROR(VLOOKUP(E167,LISTAS!$A$2:$C$65,2,FALSE),"Revisar"))</f>
        <v/>
      </c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2">
        <f>IF(COUNTA(B167:B167)+COUNTA(D167:E167)+COUNTA(G167:AJ167)=0,"",IF(COUNTBLANK(B167:B167)+COUNTBLANK(D167:E167)+COUNTBLANK(G167:G167)+COUNTBLANK(O167:AJ167)&gt;0,"Faltan "&amp;(COUNTBLANK(B167:B167)+COUNTBLANK(D167:E167)+COUNTBLANK(G167:G167)+COUNTBLANK(O167:AJ167))&amp;" datos obligatorios",IF(NOT(ISNUMBER(B167)),"Fecha no válida",IF(N(B167)&gt;TODAY(),"Fecha futura",IF(IFERROR(VLOOKUP(E167,LISTAS!$A$2:$C$65,3,FALSE),"")&lt;&gt;D167,"La subregión no corresponde al municipio",IF(IF(L167="",FALSE,OR(L167&lt;0,L167&gt;110)),"Edad fuera de rango",IF((V167="Sí")+(W167="Sí")+(X167="Sí")+(Y167="Sí")=0,"Marque al menos un tipo de violencia","OK")))))))</f>
        <v/>
      </c>
    </row>
    <row r="168">
      <c r="A168" s="12">
        <f>IF(OR(F168="",F168="Revisar",C168=""),"",F168&amp;"-"&amp;C168&amp;"-"&amp;TEXT(COUNTIFS($F$2:F168,F168,$C$2:C168,C168),"0000"))</f>
        <v/>
      </c>
      <c r="B168" s="13" t="n"/>
      <c r="C168" s="12">
        <f>IF(ISNUMBER(B168),YEAR(B168),"")</f>
        <v/>
      </c>
      <c r="D168" s="14" t="n"/>
      <c r="E168" s="14" t="n"/>
      <c r="F168" s="12">
        <f>IF(E168="","",IFERROR(VLOOKUP(E168,LISTAS!$A$2:$C$65,2,FALSE),"Revisar"))</f>
        <v/>
      </c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2">
        <f>IF(COUNTA(B168:B168)+COUNTA(D168:E168)+COUNTA(G168:AJ168)=0,"",IF(COUNTBLANK(B168:B168)+COUNTBLANK(D168:E168)+COUNTBLANK(G168:G168)+COUNTBLANK(O168:AJ168)&gt;0,"Faltan "&amp;(COUNTBLANK(B168:B168)+COUNTBLANK(D168:E168)+COUNTBLANK(G168:G168)+COUNTBLANK(O168:AJ168))&amp;" datos obligatorios",IF(NOT(ISNUMBER(B168)),"Fecha no válida",IF(N(B168)&gt;TODAY(),"Fecha futura",IF(IFERROR(VLOOKUP(E168,LISTAS!$A$2:$C$65,3,FALSE),"")&lt;&gt;D168,"La subregión no corresponde al municipio",IF(IF(L168="",FALSE,OR(L168&lt;0,L168&gt;110)),"Edad fuera de rango",IF((V168="Sí")+(W168="Sí")+(X168="Sí")+(Y168="Sí")=0,"Marque al menos un tipo de violencia","OK")))))))</f>
        <v/>
      </c>
    </row>
    <row r="169">
      <c r="A169" s="12">
        <f>IF(OR(F169="",F169="Revisar",C169=""),"",F169&amp;"-"&amp;C169&amp;"-"&amp;TEXT(COUNTIFS($F$2:F169,F169,$C$2:C169,C169),"0000"))</f>
        <v/>
      </c>
      <c r="B169" s="13" t="n"/>
      <c r="C169" s="12">
        <f>IF(ISNUMBER(B169),YEAR(B169),"")</f>
        <v/>
      </c>
      <c r="D169" s="14" t="n"/>
      <c r="E169" s="14" t="n"/>
      <c r="F169" s="12">
        <f>IF(E169="","",IFERROR(VLOOKUP(E169,LISTAS!$A$2:$C$65,2,FALSE),"Revisar"))</f>
        <v/>
      </c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2">
        <f>IF(COUNTA(B169:B169)+COUNTA(D169:E169)+COUNTA(G169:AJ169)=0,"",IF(COUNTBLANK(B169:B169)+COUNTBLANK(D169:E169)+COUNTBLANK(G169:G169)+COUNTBLANK(O169:AJ169)&gt;0,"Faltan "&amp;(COUNTBLANK(B169:B169)+COUNTBLANK(D169:E169)+COUNTBLANK(G169:G169)+COUNTBLANK(O169:AJ169))&amp;" datos obligatorios",IF(NOT(ISNUMBER(B169)),"Fecha no válida",IF(N(B169)&gt;TODAY(),"Fecha futura",IF(IFERROR(VLOOKUP(E169,LISTAS!$A$2:$C$65,3,FALSE),"")&lt;&gt;D169,"La subregión no corresponde al municipio",IF(IF(L169="",FALSE,OR(L169&lt;0,L169&gt;110)),"Edad fuera de rango",IF((V169="Sí")+(W169="Sí")+(X169="Sí")+(Y169="Sí")=0,"Marque al menos un tipo de violencia","OK")))))))</f>
        <v/>
      </c>
    </row>
    <row r="170">
      <c r="A170" s="12">
        <f>IF(OR(F170="",F170="Revisar",C170=""),"",F170&amp;"-"&amp;C170&amp;"-"&amp;TEXT(COUNTIFS($F$2:F170,F170,$C$2:C170,C170),"0000"))</f>
        <v/>
      </c>
      <c r="B170" s="13" t="n"/>
      <c r="C170" s="12">
        <f>IF(ISNUMBER(B170),YEAR(B170),"")</f>
        <v/>
      </c>
      <c r="D170" s="14" t="n"/>
      <c r="E170" s="14" t="n"/>
      <c r="F170" s="12">
        <f>IF(E170="","",IFERROR(VLOOKUP(E170,LISTAS!$A$2:$C$65,2,FALSE),"Revisar"))</f>
        <v/>
      </c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2">
        <f>IF(COUNTA(B170:B170)+COUNTA(D170:E170)+COUNTA(G170:AJ170)=0,"",IF(COUNTBLANK(B170:B170)+COUNTBLANK(D170:E170)+COUNTBLANK(G170:G170)+COUNTBLANK(O170:AJ170)&gt;0,"Faltan "&amp;(COUNTBLANK(B170:B170)+COUNTBLANK(D170:E170)+COUNTBLANK(G170:G170)+COUNTBLANK(O170:AJ170))&amp;" datos obligatorios",IF(NOT(ISNUMBER(B170)),"Fecha no válida",IF(N(B170)&gt;TODAY(),"Fecha futura",IF(IFERROR(VLOOKUP(E170,LISTAS!$A$2:$C$65,3,FALSE),"")&lt;&gt;D170,"La subregión no corresponde al municipio",IF(IF(L170="",FALSE,OR(L170&lt;0,L170&gt;110)),"Edad fuera de rango",IF((V170="Sí")+(W170="Sí")+(X170="Sí")+(Y170="Sí")=0,"Marque al menos un tipo de violencia","OK")))))))</f>
        <v/>
      </c>
    </row>
    <row r="171">
      <c r="A171" s="12">
        <f>IF(OR(F171="",F171="Revisar",C171=""),"",F171&amp;"-"&amp;C171&amp;"-"&amp;TEXT(COUNTIFS($F$2:F171,F171,$C$2:C171,C171),"0000"))</f>
        <v/>
      </c>
      <c r="B171" s="13" t="n"/>
      <c r="C171" s="12">
        <f>IF(ISNUMBER(B171),YEAR(B171),"")</f>
        <v/>
      </c>
      <c r="D171" s="14" t="n"/>
      <c r="E171" s="14" t="n"/>
      <c r="F171" s="12">
        <f>IF(E171="","",IFERROR(VLOOKUP(E171,LISTAS!$A$2:$C$65,2,FALSE),"Revisar"))</f>
        <v/>
      </c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2">
        <f>IF(COUNTA(B171:B171)+COUNTA(D171:E171)+COUNTA(G171:AJ171)=0,"",IF(COUNTBLANK(B171:B171)+COUNTBLANK(D171:E171)+COUNTBLANK(G171:G171)+COUNTBLANK(O171:AJ171)&gt;0,"Faltan "&amp;(COUNTBLANK(B171:B171)+COUNTBLANK(D171:E171)+COUNTBLANK(G171:G171)+COUNTBLANK(O171:AJ171))&amp;" datos obligatorios",IF(NOT(ISNUMBER(B171)),"Fecha no válida",IF(N(B171)&gt;TODAY(),"Fecha futura",IF(IFERROR(VLOOKUP(E171,LISTAS!$A$2:$C$65,3,FALSE),"")&lt;&gt;D171,"La subregión no corresponde al municipio",IF(IF(L171="",FALSE,OR(L171&lt;0,L171&gt;110)),"Edad fuera de rango",IF((V171="Sí")+(W171="Sí")+(X171="Sí")+(Y171="Sí")=0,"Marque al menos un tipo de violencia","OK")))))))</f>
        <v/>
      </c>
    </row>
    <row r="172">
      <c r="A172" s="12">
        <f>IF(OR(F172="",F172="Revisar",C172=""),"",F172&amp;"-"&amp;C172&amp;"-"&amp;TEXT(COUNTIFS($F$2:F172,F172,$C$2:C172,C172),"0000"))</f>
        <v/>
      </c>
      <c r="B172" s="13" t="n"/>
      <c r="C172" s="12">
        <f>IF(ISNUMBER(B172),YEAR(B172),"")</f>
        <v/>
      </c>
      <c r="D172" s="14" t="n"/>
      <c r="E172" s="14" t="n"/>
      <c r="F172" s="12">
        <f>IF(E172="","",IFERROR(VLOOKUP(E172,LISTAS!$A$2:$C$65,2,FALSE),"Revisar"))</f>
        <v/>
      </c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2">
        <f>IF(COUNTA(B172:B172)+COUNTA(D172:E172)+COUNTA(G172:AJ172)=0,"",IF(COUNTBLANK(B172:B172)+COUNTBLANK(D172:E172)+COUNTBLANK(G172:G172)+COUNTBLANK(O172:AJ172)&gt;0,"Faltan "&amp;(COUNTBLANK(B172:B172)+COUNTBLANK(D172:E172)+COUNTBLANK(G172:G172)+COUNTBLANK(O172:AJ172))&amp;" datos obligatorios",IF(NOT(ISNUMBER(B172)),"Fecha no válida",IF(N(B172)&gt;TODAY(),"Fecha futura",IF(IFERROR(VLOOKUP(E172,LISTAS!$A$2:$C$65,3,FALSE),"")&lt;&gt;D172,"La subregión no corresponde al municipio",IF(IF(L172="",FALSE,OR(L172&lt;0,L172&gt;110)),"Edad fuera de rango",IF((V172="Sí")+(W172="Sí")+(X172="Sí")+(Y172="Sí")=0,"Marque al menos un tipo de violencia","OK")))))))</f>
        <v/>
      </c>
    </row>
    <row r="173">
      <c r="A173" s="12">
        <f>IF(OR(F173="",F173="Revisar",C173=""),"",F173&amp;"-"&amp;C173&amp;"-"&amp;TEXT(COUNTIFS($F$2:F173,F173,$C$2:C173,C173),"0000"))</f>
        <v/>
      </c>
      <c r="B173" s="13" t="n"/>
      <c r="C173" s="12">
        <f>IF(ISNUMBER(B173),YEAR(B173),"")</f>
        <v/>
      </c>
      <c r="D173" s="14" t="n"/>
      <c r="E173" s="14" t="n"/>
      <c r="F173" s="12">
        <f>IF(E173="","",IFERROR(VLOOKUP(E173,LISTAS!$A$2:$C$65,2,FALSE),"Revisar"))</f>
        <v/>
      </c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2">
        <f>IF(COUNTA(B173:B173)+COUNTA(D173:E173)+COUNTA(G173:AJ173)=0,"",IF(COUNTBLANK(B173:B173)+COUNTBLANK(D173:E173)+COUNTBLANK(G173:G173)+COUNTBLANK(O173:AJ173)&gt;0,"Faltan "&amp;(COUNTBLANK(B173:B173)+COUNTBLANK(D173:E173)+COUNTBLANK(G173:G173)+COUNTBLANK(O173:AJ173))&amp;" datos obligatorios",IF(NOT(ISNUMBER(B173)),"Fecha no válida",IF(N(B173)&gt;TODAY(),"Fecha futura",IF(IFERROR(VLOOKUP(E173,LISTAS!$A$2:$C$65,3,FALSE),"")&lt;&gt;D173,"La subregión no corresponde al municipio",IF(IF(L173="",FALSE,OR(L173&lt;0,L173&gt;110)),"Edad fuera de rango",IF((V173="Sí")+(W173="Sí")+(X173="Sí")+(Y173="Sí")=0,"Marque al menos un tipo de violencia","OK")))))))</f>
        <v/>
      </c>
    </row>
    <row r="174">
      <c r="A174" s="12">
        <f>IF(OR(F174="",F174="Revisar",C174=""),"",F174&amp;"-"&amp;C174&amp;"-"&amp;TEXT(COUNTIFS($F$2:F174,F174,$C$2:C174,C174),"0000"))</f>
        <v/>
      </c>
      <c r="B174" s="13" t="n"/>
      <c r="C174" s="12">
        <f>IF(ISNUMBER(B174),YEAR(B174),"")</f>
        <v/>
      </c>
      <c r="D174" s="14" t="n"/>
      <c r="E174" s="14" t="n"/>
      <c r="F174" s="12">
        <f>IF(E174="","",IFERROR(VLOOKUP(E174,LISTAS!$A$2:$C$65,2,FALSE),"Revisar"))</f>
        <v/>
      </c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2">
        <f>IF(COUNTA(B174:B174)+COUNTA(D174:E174)+COUNTA(G174:AJ174)=0,"",IF(COUNTBLANK(B174:B174)+COUNTBLANK(D174:E174)+COUNTBLANK(G174:G174)+COUNTBLANK(O174:AJ174)&gt;0,"Faltan "&amp;(COUNTBLANK(B174:B174)+COUNTBLANK(D174:E174)+COUNTBLANK(G174:G174)+COUNTBLANK(O174:AJ174))&amp;" datos obligatorios",IF(NOT(ISNUMBER(B174)),"Fecha no válida",IF(N(B174)&gt;TODAY(),"Fecha futura",IF(IFERROR(VLOOKUP(E174,LISTAS!$A$2:$C$65,3,FALSE),"")&lt;&gt;D174,"La subregión no corresponde al municipio",IF(IF(L174="",FALSE,OR(L174&lt;0,L174&gt;110)),"Edad fuera de rango",IF((V174="Sí")+(W174="Sí")+(X174="Sí")+(Y174="Sí")=0,"Marque al menos un tipo de violencia","OK")))))))</f>
        <v/>
      </c>
    </row>
    <row r="175">
      <c r="A175" s="12">
        <f>IF(OR(F175="",F175="Revisar",C175=""),"",F175&amp;"-"&amp;C175&amp;"-"&amp;TEXT(COUNTIFS($F$2:F175,F175,$C$2:C175,C175),"0000"))</f>
        <v/>
      </c>
      <c r="B175" s="13" t="n"/>
      <c r="C175" s="12">
        <f>IF(ISNUMBER(B175),YEAR(B175),"")</f>
        <v/>
      </c>
      <c r="D175" s="14" t="n"/>
      <c r="E175" s="14" t="n"/>
      <c r="F175" s="12">
        <f>IF(E175="","",IFERROR(VLOOKUP(E175,LISTAS!$A$2:$C$65,2,FALSE),"Revisar"))</f>
        <v/>
      </c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2">
        <f>IF(COUNTA(B175:B175)+COUNTA(D175:E175)+COUNTA(G175:AJ175)=0,"",IF(COUNTBLANK(B175:B175)+COUNTBLANK(D175:E175)+COUNTBLANK(G175:G175)+COUNTBLANK(O175:AJ175)&gt;0,"Faltan "&amp;(COUNTBLANK(B175:B175)+COUNTBLANK(D175:E175)+COUNTBLANK(G175:G175)+COUNTBLANK(O175:AJ175))&amp;" datos obligatorios",IF(NOT(ISNUMBER(B175)),"Fecha no válida",IF(N(B175)&gt;TODAY(),"Fecha futura",IF(IFERROR(VLOOKUP(E175,LISTAS!$A$2:$C$65,3,FALSE),"")&lt;&gt;D175,"La subregión no corresponde al municipio",IF(IF(L175="",FALSE,OR(L175&lt;0,L175&gt;110)),"Edad fuera de rango",IF((V175="Sí")+(W175="Sí")+(X175="Sí")+(Y175="Sí")=0,"Marque al menos un tipo de violencia","OK")))))))</f>
        <v/>
      </c>
    </row>
    <row r="176">
      <c r="A176" s="12">
        <f>IF(OR(F176="",F176="Revisar",C176=""),"",F176&amp;"-"&amp;C176&amp;"-"&amp;TEXT(COUNTIFS($F$2:F176,F176,$C$2:C176,C176),"0000"))</f>
        <v/>
      </c>
      <c r="B176" s="13" t="n"/>
      <c r="C176" s="12">
        <f>IF(ISNUMBER(B176),YEAR(B176),"")</f>
        <v/>
      </c>
      <c r="D176" s="14" t="n"/>
      <c r="E176" s="14" t="n"/>
      <c r="F176" s="12">
        <f>IF(E176="","",IFERROR(VLOOKUP(E176,LISTAS!$A$2:$C$65,2,FALSE),"Revisar"))</f>
        <v/>
      </c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2">
        <f>IF(COUNTA(B176:B176)+COUNTA(D176:E176)+COUNTA(G176:AJ176)=0,"",IF(COUNTBLANK(B176:B176)+COUNTBLANK(D176:E176)+COUNTBLANK(G176:G176)+COUNTBLANK(O176:AJ176)&gt;0,"Faltan "&amp;(COUNTBLANK(B176:B176)+COUNTBLANK(D176:E176)+COUNTBLANK(G176:G176)+COUNTBLANK(O176:AJ176))&amp;" datos obligatorios",IF(NOT(ISNUMBER(B176)),"Fecha no válida",IF(N(B176)&gt;TODAY(),"Fecha futura",IF(IFERROR(VLOOKUP(E176,LISTAS!$A$2:$C$65,3,FALSE),"")&lt;&gt;D176,"La subregión no corresponde al municipio",IF(IF(L176="",FALSE,OR(L176&lt;0,L176&gt;110)),"Edad fuera de rango",IF((V176="Sí")+(W176="Sí")+(X176="Sí")+(Y176="Sí")=0,"Marque al menos un tipo de violencia","OK")))))))</f>
        <v/>
      </c>
    </row>
    <row r="177">
      <c r="A177" s="12">
        <f>IF(OR(F177="",F177="Revisar",C177=""),"",F177&amp;"-"&amp;C177&amp;"-"&amp;TEXT(COUNTIFS($F$2:F177,F177,$C$2:C177,C177),"0000"))</f>
        <v/>
      </c>
      <c r="B177" s="13" t="n"/>
      <c r="C177" s="12">
        <f>IF(ISNUMBER(B177),YEAR(B177),"")</f>
        <v/>
      </c>
      <c r="D177" s="14" t="n"/>
      <c r="E177" s="14" t="n"/>
      <c r="F177" s="12">
        <f>IF(E177="","",IFERROR(VLOOKUP(E177,LISTAS!$A$2:$C$65,2,FALSE),"Revisar"))</f>
        <v/>
      </c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2">
        <f>IF(COUNTA(B177:B177)+COUNTA(D177:E177)+COUNTA(G177:AJ177)=0,"",IF(COUNTBLANK(B177:B177)+COUNTBLANK(D177:E177)+COUNTBLANK(G177:G177)+COUNTBLANK(O177:AJ177)&gt;0,"Faltan "&amp;(COUNTBLANK(B177:B177)+COUNTBLANK(D177:E177)+COUNTBLANK(G177:G177)+COUNTBLANK(O177:AJ177))&amp;" datos obligatorios",IF(NOT(ISNUMBER(B177)),"Fecha no válida",IF(N(B177)&gt;TODAY(),"Fecha futura",IF(IFERROR(VLOOKUP(E177,LISTAS!$A$2:$C$65,3,FALSE),"")&lt;&gt;D177,"La subregión no corresponde al municipio",IF(IF(L177="",FALSE,OR(L177&lt;0,L177&gt;110)),"Edad fuera de rango",IF((V177="Sí")+(W177="Sí")+(X177="Sí")+(Y177="Sí")=0,"Marque al menos un tipo de violencia","OK")))))))</f>
        <v/>
      </c>
    </row>
    <row r="178">
      <c r="A178" s="12">
        <f>IF(OR(F178="",F178="Revisar",C178=""),"",F178&amp;"-"&amp;C178&amp;"-"&amp;TEXT(COUNTIFS($F$2:F178,F178,$C$2:C178,C178),"0000"))</f>
        <v/>
      </c>
      <c r="B178" s="13" t="n"/>
      <c r="C178" s="12">
        <f>IF(ISNUMBER(B178),YEAR(B178),"")</f>
        <v/>
      </c>
      <c r="D178" s="14" t="n"/>
      <c r="E178" s="14" t="n"/>
      <c r="F178" s="12">
        <f>IF(E178="","",IFERROR(VLOOKUP(E178,LISTAS!$A$2:$C$65,2,FALSE),"Revisar"))</f>
        <v/>
      </c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2">
        <f>IF(COUNTA(B178:B178)+COUNTA(D178:E178)+COUNTA(G178:AJ178)=0,"",IF(COUNTBLANK(B178:B178)+COUNTBLANK(D178:E178)+COUNTBLANK(G178:G178)+COUNTBLANK(O178:AJ178)&gt;0,"Faltan "&amp;(COUNTBLANK(B178:B178)+COUNTBLANK(D178:E178)+COUNTBLANK(G178:G178)+COUNTBLANK(O178:AJ178))&amp;" datos obligatorios",IF(NOT(ISNUMBER(B178)),"Fecha no válida",IF(N(B178)&gt;TODAY(),"Fecha futura",IF(IFERROR(VLOOKUP(E178,LISTAS!$A$2:$C$65,3,FALSE),"")&lt;&gt;D178,"La subregión no corresponde al municipio",IF(IF(L178="",FALSE,OR(L178&lt;0,L178&gt;110)),"Edad fuera de rango",IF((V178="Sí")+(W178="Sí")+(X178="Sí")+(Y178="Sí")=0,"Marque al menos un tipo de violencia","OK")))))))</f>
        <v/>
      </c>
    </row>
    <row r="179">
      <c r="A179" s="12">
        <f>IF(OR(F179="",F179="Revisar",C179=""),"",F179&amp;"-"&amp;C179&amp;"-"&amp;TEXT(COUNTIFS($F$2:F179,F179,$C$2:C179,C179),"0000"))</f>
        <v/>
      </c>
      <c r="B179" s="13" t="n"/>
      <c r="C179" s="12">
        <f>IF(ISNUMBER(B179),YEAR(B179),"")</f>
        <v/>
      </c>
      <c r="D179" s="14" t="n"/>
      <c r="E179" s="14" t="n"/>
      <c r="F179" s="12">
        <f>IF(E179="","",IFERROR(VLOOKUP(E179,LISTAS!$A$2:$C$65,2,FALSE),"Revisar"))</f>
        <v/>
      </c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2">
        <f>IF(COUNTA(B179:B179)+COUNTA(D179:E179)+COUNTA(G179:AJ179)=0,"",IF(COUNTBLANK(B179:B179)+COUNTBLANK(D179:E179)+COUNTBLANK(G179:G179)+COUNTBLANK(O179:AJ179)&gt;0,"Faltan "&amp;(COUNTBLANK(B179:B179)+COUNTBLANK(D179:E179)+COUNTBLANK(G179:G179)+COUNTBLANK(O179:AJ179))&amp;" datos obligatorios",IF(NOT(ISNUMBER(B179)),"Fecha no válida",IF(N(B179)&gt;TODAY(),"Fecha futura",IF(IFERROR(VLOOKUP(E179,LISTAS!$A$2:$C$65,3,FALSE),"")&lt;&gt;D179,"La subregión no corresponde al municipio",IF(IF(L179="",FALSE,OR(L179&lt;0,L179&gt;110)),"Edad fuera de rango",IF((V179="Sí")+(W179="Sí")+(X179="Sí")+(Y179="Sí")=0,"Marque al menos un tipo de violencia","OK")))))))</f>
        <v/>
      </c>
    </row>
    <row r="180">
      <c r="A180" s="12">
        <f>IF(OR(F180="",F180="Revisar",C180=""),"",F180&amp;"-"&amp;C180&amp;"-"&amp;TEXT(COUNTIFS($F$2:F180,F180,$C$2:C180,C180),"0000"))</f>
        <v/>
      </c>
      <c r="B180" s="13" t="n"/>
      <c r="C180" s="12">
        <f>IF(ISNUMBER(B180),YEAR(B180),"")</f>
        <v/>
      </c>
      <c r="D180" s="14" t="n"/>
      <c r="E180" s="14" t="n"/>
      <c r="F180" s="12">
        <f>IF(E180="","",IFERROR(VLOOKUP(E180,LISTAS!$A$2:$C$65,2,FALSE),"Revisar"))</f>
        <v/>
      </c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2">
        <f>IF(COUNTA(B180:B180)+COUNTA(D180:E180)+COUNTA(G180:AJ180)=0,"",IF(COUNTBLANK(B180:B180)+COUNTBLANK(D180:E180)+COUNTBLANK(G180:G180)+COUNTBLANK(O180:AJ180)&gt;0,"Faltan "&amp;(COUNTBLANK(B180:B180)+COUNTBLANK(D180:E180)+COUNTBLANK(G180:G180)+COUNTBLANK(O180:AJ180))&amp;" datos obligatorios",IF(NOT(ISNUMBER(B180)),"Fecha no válida",IF(N(B180)&gt;TODAY(),"Fecha futura",IF(IFERROR(VLOOKUP(E180,LISTAS!$A$2:$C$65,3,FALSE),"")&lt;&gt;D180,"La subregión no corresponde al municipio",IF(IF(L180="",FALSE,OR(L180&lt;0,L180&gt;110)),"Edad fuera de rango",IF((V180="Sí")+(W180="Sí")+(X180="Sí")+(Y180="Sí")=0,"Marque al menos un tipo de violencia","OK")))))))</f>
        <v/>
      </c>
    </row>
    <row r="181">
      <c r="A181" s="12">
        <f>IF(OR(F181="",F181="Revisar",C181=""),"",F181&amp;"-"&amp;C181&amp;"-"&amp;TEXT(COUNTIFS($F$2:F181,F181,$C$2:C181,C181),"0000"))</f>
        <v/>
      </c>
      <c r="B181" s="13" t="n"/>
      <c r="C181" s="12">
        <f>IF(ISNUMBER(B181),YEAR(B181),"")</f>
        <v/>
      </c>
      <c r="D181" s="14" t="n"/>
      <c r="E181" s="14" t="n"/>
      <c r="F181" s="12">
        <f>IF(E181="","",IFERROR(VLOOKUP(E181,LISTAS!$A$2:$C$65,2,FALSE),"Revisar"))</f>
        <v/>
      </c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2">
        <f>IF(COUNTA(B181:B181)+COUNTA(D181:E181)+COUNTA(G181:AJ181)=0,"",IF(COUNTBLANK(B181:B181)+COUNTBLANK(D181:E181)+COUNTBLANK(G181:G181)+COUNTBLANK(O181:AJ181)&gt;0,"Faltan "&amp;(COUNTBLANK(B181:B181)+COUNTBLANK(D181:E181)+COUNTBLANK(G181:G181)+COUNTBLANK(O181:AJ181))&amp;" datos obligatorios",IF(NOT(ISNUMBER(B181)),"Fecha no válida",IF(N(B181)&gt;TODAY(),"Fecha futura",IF(IFERROR(VLOOKUP(E181,LISTAS!$A$2:$C$65,3,FALSE),"")&lt;&gt;D181,"La subregión no corresponde al municipio",IF(IF(L181="",FALSE,OR(L181&lt;0,L181&gt;110)),"Edad fuera de rango",IF((V181="Sí")+(W181="Sí")+(X181="Sí")+(Y181="Sí")=0,"Marque al menos un tipo de violencia","OK")))))))</f>
        <v/>
      </c>
    </row>
    <row r="182">
      <c r="A182" s="12">
        <f>IF(OR(F182="",F182="Revisar",C182=""),"",F182&amp;"-"&amp;C182&amp;"-"&amp;TEXT(COUNTIFS($F$2:F182,F182,$C$2:C182,C182),"0000"))</f>
        <v/>
      </c>
      <c r="B182" s="13" t="n"/>
      <c r="C182" s="12">
        <f>IF(ISNUMBER(B182),YEAR(B182),"")</f>
        <v/>
      </c>
      <c r="D182" s="14" t="n"/>
      <c r="E182" s="14" t="n"/>
      <c r="F182" s="12">
        <f>IF(E182="","",IFERROR(VLOOKUP(E182,LISTAS!$A$2:$C$65,2,FALSE),"Revisar"))</f>
        <v/>
      </c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2">
        <f>IF(COUNTA(B182:B182)+COUNTA(D182:E182)+COUNTA(G182:AJ182)=0,"",IF(COUNTBLANK(B182:B182)+COUNTBLANK(D182:E182)+COUNTBLANK(G182:G182)+COUNTBLANK(O182:AJ182)&gt;0,"Faltan "&amp;(COUNTBLANK(B182:B182)+COUNTBLANK(D182:E182)+COUNTBLANK(G182:G182)+COUNTBLANK(O182:AJ182))&amp;" datos obligatorios",IF(NOT(ISNUMBER(B182)),"Fecha no válida",IF(N(B182)&gt;TODAY(),"Fecha futura",IF(IFERROR(VLOOKUP(E182,LISTAS!$A$2:$C$65,3,FALSE),"")&lt;&gt;D182,"La subregión no corresponde al municipio",IF(IF(L182="",FALSE,OR(L182&lt;0,L182&gt;110)),"Edad fuera de rango",IF((V182="Sí")+(W182="Sí")+(X182="Sí")+(Y182="Sí")=0,"Marque al menos un tipo de violencia","OK")))))))</f>
        <v/>
      </c>
    </row>
    <row r="183">
      <c r="A183" s="12">
        <f>IF(OR(F183="",F183="Revisar",C183=""),"",F183&amp;"-"&amp;C183&amp;"-"&amp;TEXT(COUNTIFS($F$2:F183,F183,$C$2:C183,C183),"0000"))</f>
        <v/>
      </c>
      <c r="B183" s="13" t="n"/>
      <c r="C183" s="12">
        <f>IF(ISNUMBER(B183),YEAR(B183),"")</f>
        <v/>
      </c>
      <c r="D183" s="14" t="n"/>
      <c r="E183" s="14" t="n"/>
      <c r="F183" s="12">
        <f>IF(E183="","",IFERROR(VLOOKUP(E183,LISTAS!$A$2:$C$65,2,FALSE),"Revisar"))</f>
        <v/>
      </c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2">
        <f>IF(COUNTA(B183:B183)+COUNTA(D183:E183)+COUNTA(G183:AJ183)=0,"",IF(COUNTBLANK(B183:B183)+COUNTBLANK(D183:E183)+COUNTBLANK(G183:G183)+COUNTBLANK(O183:AJ183)&gt;0,"Faltan "&amp;(COUNTBLANK(B183:B183)+COUNTBLANK(D183:E183)+COUNTBLANK(G183:G183)+COUNTBLANK(O183:AJ183))&amp;" datos obligatorios",IF(NOT(ISNUMBER(B183)),"Fecha no válida",IF(N(B183)&gt;TODAY(),"Fecha futura",IF(IFERROR(VLOOKUP(E183,LISTAS!$A$2:$C$65,3,FALSE),"")&lt;&gt;D183,"La subregión no corresponde al municipio",IF(IF(L183="",FALSE,OR(L183&lt;0,L183&gt;110)),"Edad fuera de rango",IF((V183="Sí")+(W183="Sí")+(X183="Sí")+(Y183="Sí")=0,"Marque al menos un tipo de violencia","OK")))))))</f>
        <v/>
      </c>
    </row>
    <row r="184">
      <c r="A184" s="12">
        <f>IF(OR(F184="",F184="Revisar",C184=""),"",F184&amp;"-"&amp;C184&amp;"-"&amp;TEXT(COUNTIFS($F$2:F184,F184,$C$2:C184,C184),"0000"))</f>
        <v/>
      </c>
      <c r="B184" s="13" t="n"/>
      <c r="C184" s="12">
        <f>IF(ISNUMBER(B184),YEAR(B184),"")</f>
        <v/>
      </c>
      <c r="D184" s="14" t="n"/>
      <c r="E184" s="14" t="n"/>
      <c r="F184" s="12">
        <f>IF(E184="","",IFERROR(VLOOKUP(E184,LISTAS!$A$2:$C$65,2,FALSE),"Revisar"))</f>
        <v/>
      </c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2">
        <f>IF(COUNTA(B184:B184)+COUNTA(D184:E184)+COUNTA(G184:AJ184)=0,"",IF(COUNTBLANK(B184:B184)+COUNTBLANK(D184:E184)+COUNTBLANK(G184:G184)+COUNTBLANK(O184:AJ184)&gt;0,"Faltan "&amp;(COUNTBLANK(B184:B184)+COUNTBLANK(D184:E184)+COUNTBLANK(G184:G184)+COUNTBLANK(O184:AJ184))&amp;" datos obligatorios",IF(NOT(ISNUMBER(B184)),"Fecha no válida",IF(N(B184)&gt;TODAY(),"Fecha futura",IF(IFERROR(VLOOKUP(E184,LISTAS!$A$2:$C$65,3,FALSE),"")&lt;&gt;D184,"La subregión no corresponde al municipio",IF(IF(L184="",FALSE,OR(L184&lt;0,L184&gt;110)),"Edad fuera de rango",IF((V184="Sí")+(W184="Sí")+(X184="Sí")+(Y184="Sí")=0,"Marque al menos un tipo de violencia","OK")))))))</f>
        <v/>
      </c>
    </row>
    <row r="185">
      <c r="A185" s="12">
        <f>IF(OR(F185="",F185="Revisar",C185=""),"",F185&amp;"-"&amp;C185&amp;"-"&amp;TEXT(COUNTIFS($F$2:F185,F185,$C$2:C185,C185),"0000"))</f>
        <v/>
      </c>
      <c r="B185" s="13" t="n"/>
      <c r="C185" s="12">
        <f>IF(ISNUMBER(B185),YEAR(B185),"")</f>
        <v/>
      </c>
      <c r="D185" s="14" t="n"/>
      <c r="E185" s="14" t="n"/>
      <c r="F185" s="12">
        <f>IF(E185="","",IFERROR(VLOOKUP(E185,LISTAS!$A$2:$C$65,2,FALSE),"Revisar"))</f>
        <v/>
      </c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2">
        <f>IF(COUNTA(B185:B185)+COUNTA(D185:E185)+COUNTA(G185:AJ185)=0,"",IF(COUNTBLANK(B185:B185)+COUNTBLANK(D185:E185)+COUNTBLANK(G185:G185)+COUNTBLANK(O185:AJ185)&gt;0,"Faltan "&amp;(COUNTBLANK(B185:B185)+COUNTBLANK(D185:E185)+COUNTBLANK(G185:G185)+COUNTBLANK(O185:AJ185))&amp;" datos obligatorios",IF(NOT(ISNUMBER(B185)),"Fecha no válida",IF(N(B185)&gt;TODAY(),"Fecha futura",IF(IFERROR(VLOOKUP(E185,LISTAS!$A$2:$C$65,3,FALSE),"")&lt;&gt;D185,"La subregión no corresponde al municipio",IF(IF(L185="",FALSE,OR(L185&lt;0,L185&gt;110)),"Edad fuera de rango",IF((V185="Sí")+(W185="Sí")+(X185="Sí")+(Y185="Sí")=0,"Marque al menos un tipo de violencia","OK")))))))</f>
        <v/>
      </c>
    </row>
    <row r="186">
      <c r="A186" s="12">
        <f>IF(OR(F186="",F186="Revisar",C186=""),"",F186&amp;"-"&amp;C186&amp;"-"&amp;TEXT(COUNTIFS($F$2:F186,F186,$C$2:C186,C186),"0000"))</f>
        <v/>
      </c>
      <c r="B186" s="13" t="n"/>
      <c r="C186" s="12">
        <f>IF(ISNUMBER(B186),YEAR(B186),"")</f>
        <v/>
      </c>
      <c r="D186" s="14" t="n"/>
      <c r="E186" s="14" t="n"/>
      <c r="F186" s="12">
        <f>IF(E186="","",IFERROR(VLOOKUP(E186,LISTAS!$A$2:$C$65,2,FALSE),"Revisar"))</f>
        <v/>
      </c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2">
        <f>IF(COUNTA(B186:B186)+COUNTA(D186:E186)+COUNTA(G186:AJ186)=0,"",IF(COUNTBLANK(B186:B186)+COUNTBLANK(D186:E186)+COUNTBLANK(G186:G186)+COUNTBLANK(O186:AJ186)&gt;0,"Faltan "&amp;(COUNTBLANK(B186:B186)+COUNTBLANK(D186:E186)+COUNTBLANK(G186:G186)+COUNTBLANK(O186:AJ186))&amp;" datos obligatorios",IF(NOT(ISNUMBER(B186)),"Fecha no válida",IF(N(B186)&gt;TODAY(),"Fecha futura",IF(IFERROR(VLOOKUP(E186,LISTAS!$A$2:$C$65,3,FALSE),"")&lt;&gt;D186,"La subregión no corresponde al municipio",IF(IF(L186="",FALSE,OR(L186&lt;0,L186&gt;110)),"Edad fuera de rango",IF((V186="Sí")+(W186="Sí")+(X186="Sí")+(Y186="Sí")=0,"Marque al menos un tipo de violencia","OK")))))))</f>
        <v/>
      </c>
    </row>
    <row r="187">
      <c r="A187" s="12">
        <f>IF(OR(F187="",F187="Revisar",C187=""),"",F187&amp;"-"&amp;C187&amp;"-"&amp;TEXT(COUNTIFS($F$2:F187,F187,$C$2:C187,C187),"0000"))</f>
        <v/>
      </c>
      <c r="B187" s="13" t="n"/>
      <c r="C187" s="12">
        <f>IF(ISNUMBER(B187),YEAR(B187),"")</f>
        <v/>
      </c>
      <c r="D187" s="14" t="n"/>
      <c r="E187" s="14" t="n"/>
      <c r="F187" s="12">
        <f>IF(E187="","",IFERROR(VLOOKUP(E187,LISTAS!$A$2:$C$65,2,FALSE),"Revisar"))</f>
        <v/>
      </c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2">
        <f>IF(COUNTA(B187:B187)+COUNTA(D187:E187)+COUNTA(G187:AJ187)=0,"",IF(COUNTBLANK(B187:B187)+COUNTBLANK(D187:E187)+COUNTBLANK(G187:G187)+COUNTBLANK(O187:AJ187)&gt;0,"Faltan "&amp;(COUNTBLANK(B187:B187)+COUNTBLANK(D187:E187)+COUNTBLANK(G187:G187)+COUNTBLANK(O187:AJ187))&amp;" datos obligatorios",IF(NOT(ISNUMBER(B187)),"Fecha no válida",IF(N(B187)&gt;TODAY(),"Fecha futura",IF(IFERROR(VLOOKUP(E187,LISTAS!$A$2:$C$65,3,FALSE),"")&lt;&gt;D187,"La subregión no corresponde al municipio",IF(IF(L187="",FALSE,OR(L187&lt;0,L187&gt;110)),"Edad fuera de rango",IF((V187="Sí")+(W187="Sí")+(X187="Sí")+(Y187="Sí")=0,"Marque al menos un tipo de violencia","OK")))))))</f>
        <v/>
      </c>
    </row>
    <row r="188">
      <c r="A188" s="12">
        <f>IF(OR(F188="",F188="Revisar",C188=""),"",F188&amp;"-"&amp;C188&amp;"-"&amp;TEXT(COUNTIFS($F$2:F188,F188,$C$2:C188,C188),"0000"))</f>
        <v/>
      </c>
      <c r="B188" s="13" t="n"/>
      <c r="C188" s="12">
        <f>IF(ISNUMBER(B188),YEAR(B188),"")</f>
        <v/>
      </c>
      <c r="D188" s="14" t="n"/>
      <c r="E188" s="14" t="n"/>
      <c r="F188" s="12">
        <f>IF(E188="","",IFERROR(VLOOKUP(E188,LISTAS!$A$2:$C$65,2,FALSE),"Revisar"))</f>
        <v/>
      </c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2">
        <f>IF(COUNTA(B188:B188)+COUNTA(D188:E188)+COUNTA(G188:AJ188)=0,"",IF(COUNTBLANK(B188:B188)+COUNTBLANK(D188:E188)+COUNTBLANK(G188:G188)+COUNTBLANK(O188:AJ188)&gt;0,"Faltan "&amp;(COUNTBLANK(B188:B188)+COUNTBLANK(D188:E188)+COUNTBLANK(G188:G188)+COUNTBLANK(O188:AJ188))&amp;" datos obligatorios",IF(NOT(ISNUMBER(B188)),"Fecha no válida",IF(N(B188)&gt;TODAY(),"Fecha futura",IF(IFERROR(VLOOKUP(E188,LISTAS!$A$2:$C$65,3,FALSE),"")&lt;&gt;D188,"La subregión no corresponde al municipio",IF(IF(L188="",FALSE,OR(L188&lt;0,L188&gt;110)),"Edad fuera de rango",IF((V188="Sí")+(W188="Sí")+(X188="Sí")+(Y188="Sí")=0,"Marque al menos un tipo de violencia","OK")))))))</f>
        <v/>
      </c>
    </row>
    <row r="189">
      <c r="A189" s="12">
        <f>IF(OR(F189="",F189="Revisar",C189=""),"",F189&amp;"-"&amp;C189&amp;"-"&amp;TEXT(COUNTIFS($F$2:F189,F189,$C$2:C189,C189),"0000"))</f>
        <v/>
      </c>
      <c r="B189" s="13" t="n"/>
      <c r="C189" s="12">
        <f>IF(ISNUMBER(B189),YEAR(B189),"")</f>
        <v/>
      </c>
      <c r="D189" s="14" t="n"/>
      <c r="E189" s="14" t="n"/>
      <c r="F189" s="12">
        <f>IF(E189="","",IFERROR(VLOOKUP(E189,LISTAS!$A$2:$C$65,2,FALSE),"Revisar"))</f>
        <v/>
      </c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2">
        <f>IF(COUNTA(B189:B189)+COUNTA(D189:E189)+COUNTA(G189:AJ189)=0,"",IF(COUNTBLANK(B189:B189)+COUNTBLANK(D189:E189)+COUNTBLANK(G189:G189)+COUNTBLANK(O189:AJ189)&gt;0,"Faltan "&amp;(COUNTBLANK(B189:B189)+COUNTBLANK(D189:E189)+COUNTBLANK(G189:G189)+COUNTBLANK(O189:AJ189))&amp;" datos obligatorios",IF(NOT(ISNUMBER(B189)),"Fecha no válida",IF(N(B189)&gt;TODAY(),"Fecha futura",IF(IFERROR(VLOOKUP(E189,LISTAS!$A$2:$C$65,3,FALSE),"")&lt;&gt;D189,"La subregión no corresponde al municipio",IF(IF(L189="",FALSE,OR(L189&lt;0,L189&gt;110)),"Edad fuera de rango",IF((V189="Sí")+(W189="Sí")+(X189="Sí")+(Y189="Sí")=0,"Marque al menos un tipo de violencia","OK")))))))</f>
        <v/>
      </c>
    </row>
    <row r="190">
      <c r="A190" s="12">
        <f>IF(OR(F190="",F190="Revisar",C190=""),"",F190&amp;"-"&amp;C190&amp;"-"&amp;TEXT(COUNTIFS($F$2:F190,F190,$C$2:C190,C190),"0000"))</f>
        <v/>
      </c>
      <c r="B190" s="13" t="n"/>
      <c r="C190" s="12">
        <f>IF(ISNUMBER(B190),YEAR(B190),"")</f>
        <v/>
      </c>
      <c r="D190" s="14" t="n"/>
      <c r="E190" s="14" t="n"/>
      <c r="F190" s="12">
        <f>IF(E190="","",IFERROR(VLOOKUP(E190,LISTAS!$A$2:$C$65,2,FALSE),"Revisar"))</f>
        <v/>
      </c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2">
        <f>IF(COUNTA(B190:B190)+COUNTA(D190:E190)+COUNTA(G190:AJ190)=0,"",IF(COUNTBLANK(B190:B190)+COUNTBLANK(D190:E190)+COUNTBLANK(G190:G190)+COUNTBLANK(O190:AJ190)&gt;0,"Faltan "&amp;(COUNTBLANK(B190:B190)+COUNTBLANK(D190:E190)+COUNTBLANK(G190:G190)+COUNTBLANK(O190:AJ190))&amp;" datos obligatorios",IF(NOT(ISNUMBER(B190)),"Fecha no válida",IF(N(B190)&gt;TODAY(),"Fecha futura",IF(IFERROR(VLOOKUP(E190,LISTAS!$A$2:$C$65,3,FALSE),"")&lt;&gt;D190,"La subregión no corresponde al municipio",IF(IF(L190="",FALSE,OR(L190&lt;0,L190&gt;110)),"Edad fuera de rango",IF((V190="Sí")+(W190="Sí")+(X190="Sí")+(Y190="Sí")=0,"Marque al menos un tipo de violencia","OK")))))))</f>
        <v/>
      </c>
    </row>
    <row r="191">
      <c r="A191" s="12">
        <f>IF(OR(F191="",F191="Revisar",C191=""),"",F191&amp;"-"&amp;C191&amp;"-"&amp;TEXT(COUNTIFS($F$2:F191,F191,$C$2:C191,C191),"0000"))</f>
        <v/>
      </c>
      <c r="B191" s="13" t="n"/>
      <c r="C191" s="12">
        <f>IF(ISNUMBER(B191),YEAR(B191),"")</f>
        <v/>
      </c>
      <c r="D191" s="14" t="n"/>
      <c r="E191" s="14" t="n"/>
      <c r="F191" s="12">
        <f>IF(E191="","",IFERROR(VLOOKUP(E191,LISTAS!$A$2:$C$65,2,FALSE),"Revisar"))</f>
        <v/>
      </c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2">
        <f>IF(COUNTA(B191:B191)+COUNTA(D191:E191)+COUNTA(G191:AJ191)=0,"",IF(COUNTBLANK(B191:B191)+COUNTBLANK(D191:E191)+COUNTBLANK(G191:G191)+COUNTBLANK(O191:AJ191)&gt;0,"Faltan "&amp;(COUNTBLANK(B191:B191)+COUNTBLANK(D191:E191)+COUNTBLANK(G191:G191)+COUNTBLANK(O191:AJ191))&amp;" datos obligatorios",IF(NOT(ISNUMBER(B191)),"Fecha no válida",IF(N(B191)&gt;TODAY(),"Fecha futura",IF(IFERROR(VLOOKUP(E191,LISTAS!$A$2:$C$65,3,FALSE),"")&lt;&gt;D191,"La subregión no corresponde al municipio",IF(IF(L191="",FALSE,OR(L191&lt;0,L191&gt;110)),"Edad fuera de rango",IF((V191="Sí")+(W191="Sí")+(X191="Sí")+(Y191="Sí")=0,"Marque al menos un tipo de violencia","OK")))))))</f>
        <v/>
      </c>
    </row>
    <row r="192">
      <c r="A192" s="12">
        <f>IF(OR(F192="",F192="Revisar",C192=""),"",F192&amp;"-"&amp;C192&amp;"-"&amp;TEXT(COUNTIFS($F$2:F192,F192,$C$2:C192,C192),"0000"))</f>
        <v/>
      </c>
      <c r="B192" s="13" t="n"/>
      <c r="C192" s="12">
        <f>IF(ISNUMBER(B192),YEAR(B192),"")</f>
        <v/>
      </c>
      <c r="D192" s="14" t="n"/>
      <c r="E192" s="14" t="n"/>
      <c r="F192" s="12">
        <f>IF(E192="","",IFERROR(VLOOKUP(E192,LISTAS!$A$2:$C$65,2,FALSE),"Revisar"))</f>
        <v/>
      </c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2">
        <f>IF(COUNTA(B192:B192)+COUNTA(D192:E192)+COUNTA(G192:AJ192)=0,"",IF(COUNTBLANK(B192:B192)+COUNTBLANK(D192:E192)+COUNTBLANK(G192:G192)+COUNTBLANK(O192:AJ192)&gt;0,"Faltan "&amp;(COUNTBLANK(B192:B192)+COUNTBLANK(D192:E192)+COUNTBLANK(G192:G192)+COUNTBLANK(O192:AJ192))&amp;" datos obligatorios",IF(NOT(ISNUMBER(B192)),"Fecha no válida",IF(N(B192)&gt;TODAY(),"Fecha futura",IF(IFERROR(VLOOKUP(E192,LISTAS!$A$2:$C$65,3,FALSE),"")&lt;&gt;D192,"La subregión no corresponde al municipio",IF(IF(L192="",FALSE,OR(L192&lt;0,L192&gt;110)),"Edad fuera de rango",IF((V192="Sí")+(W192="Sí")+(X192="Sí")+(Y192="Sí")=0,"Marque al menos un tipo de violencia","OK")))))))</f>
        <v/>
      </c>
    </row>
    <row r="193">
      <c r="A193" s="12">
        <f>IF(OR(F193="",F193="Revisar",C193=""),"",F193&amp;"-"&amp;C193&amp;"-"&amp;TEXT(COUNTIFS($F$2:F193,F193,$C$2:C193,C193),"0000"))</f>
        <v/>
      </c>
      <c r="B193" s="13" t="n"/>
      <c r="C193" s="12">
        <f>IF(ISNUMBER(B193),YEAR(B193),"")</f>
        <v/>
      </c>
      <c r="D193" s="14" t="n"/>
      <c r="E193" s="14" t="n"/>
      <c r="F193" s="12">
        <f>IF(E193="","",IFERROR(VLOOKUP(E193,LISTAS!$A$2:$C$65,2,FALSE),"Revisar"))</f>
        <v/>
      </c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2">
        <f>IF(COUNTA(B193:B193)+COUNTA(D193:E193)+COUNTA(G193:AJ193)=0,"",IF(COUNTBLANK(B193:B193)+COUNTBLANK(D193:E193)+COUNTBLANK(G193:G193)+COUNTBLANK(O193:AJ193)&gt;0,"Faltan "&amp;(COUNTBLANK(B193:B193)+COUNTBLANK(D193:E193)+COUNTBLANK(G193:G193)+COUNTBLANK(O193:AJ193))&amp;" datos obligatorios",IF(NOT(ISNUMBER(B193)),"Fecha no válida",IF(N(B193)&gt;TODAY(),"Fecha futura",IF(IFERROR(VLOOKUP(E193,LISTAS!$A$2:$C$65,3,FALSE),"")&lt;&gt;D193,"La subregión no corresponde al municipio",IF(IF(L193="",FALSE,OR(L193&lt;0,L193&gt;110)),"Edad fuera de rango",IF((V193="Sí")+(W193="Sí")+(X193="Sí")+(Y193="Sí")=0,"Marque al menos un tipo de violencia","OK")))))))</f>
        <v/>
      </c>
    </row>
    <row r="194">
      <c r="A194" s="12">
        <f>IF(OR(F194="",F194="Revisar",C194=""),"",F194&amp;"-"&amp;C194&amp;"-"&amp;TEXT(COUNTIFS($F$2:F194,F194,$C$2:C194,C194),"0000"))</f>
        <v/>
      </c>
      <c r="B194" s="13" t="n"/>
      <c r="C194" s="12">
        <f>IF(ISNUMBER(B194),YEAR(B194),"")</f>
        <v/>
      </c>
      <c r="D194" s="14" t="n"/>
      <c r="E194" s="14" t="n"/>
      <c r="F194" s="12">
        <f>IF(E194="","",IFERROR(VLOOKUP(E194,LISTAS!$A$2:$C$65,2,FALSE),"Revisar"))</f>
        <v/>
      </c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2">
        <f>IF(COUNTA(B194:B194)+COUNTA(D194:E194)+COUNTA(G194:AJ194)=0,"",IF(COUNTBLANK(B194:B194)+COUNTBLANK(D194:E194)+COUNTBLANK(G194:G194)+COUNTBLANK(O194:AJ194)&gt;0,"Faltan "&amp;(COUNTBLANK(B194:B194)+COUNTBLANK(D194:E194)+COUNTBLANK(G194:G194)+COUNTBLANK(O194:AJ194))&amp;" datos obligatorios",IF(NOT(ISNUMBER(B194)),"Fecha no válida",IF(N(B194)&gt;TODAY(),"Fecha futura",IF(IFERROR(VLOOKUP(E194,LISTAS!$A$2:$C$65,3,FALSE),"")&lt;&gt;D194,"La subregión no corresponde al municipio",IF(IF(L194="",FALSE,OR(L194&lt;0,L194&gt;110)),"Edad fuera de rango",IF((V194="Sí")+(W194="Sí")+(X194="Sí")+(Y194="Sí")=0,"Marque al menos un tipo de violencia","OK")))))))</f>
        <v/>
      </c>
    </row>
    <row r="195">
      <c r="A195" s="12">
        <f>IF(OR(F195="",F195="Revisar",C195=""),"",F195&amp;"-"&amp;C195&amp;"-"&amp;TEXT(COUNTIFS($F$2:F195,F195,$C$2:C195,C195),"0000"))</f>
        <v/>
      </c>
      <c r="B195" s="13" t="n"/>
      <c r="C195" s="12">
        <f>IF(ISNUMBER(B195),YEAR(B195),"")</f>
        <v/>
      </c>
      <c r="D195" s="14" t="n"/>
      <c r="E195" s="14" t="n"/>
      <c r="F195" s="12">
        <f>IF(E195="","",IFERROR(VLOOKUP(E195,LISTAS!$A$2:$C$65,2,FALSE),"Revisar"))</f>
        <v/>
      </c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2">
        <f>IF(COUNTA(B195:B195)+COUNTA(D195:E195)+COUNTA(G195:AJ195)=0,"",IF(COUNTBLANK(B195:B195)+COUNTBLANK(D195:E195)+COUNTBLANK(G195:G195)+COUNTBLANK(O195:AJ195)&gt;0,"Faltan "&amp;(COUNTBLANK(B195:B195)+COUNTBLANK(D195:E195)+COUNTBLANK(G195:G195)+COUNTBLANK(O195:AJ195))&amp;" datos obligatorios",IF(NOT(ISNUMBER(B195)),"Fecha no válida",IF(N(B195)&gt;TODAY(),"Fecha futura",IF(IFERROR(VLOOKUP(E195,LISTAS!$A$2:$C$65,3,FALSE),"")&lt;&gt;D195,"La subregión no corresponde al municipio",IF(IF(L195="",FALSE,OR(L195&lt;0,L195&gt;110)),"Edad fuera de rango",IF((V195="Sí")+(W195="Sí")+(X195="Sí")+(Y195="Sí")=0,"Marque al menos un tipo de violencia","OK")))))))</f>
        <v/>
      </c>
    </row>
    <row r="196">
      <c r="A196" s="12">
        <f>IF(OR(F196="",F196="Revisar",C196=""),"",F196&amp;"-"&amp;C196&amp;"-"&amp;TEXT(COUNTIFS($F$2:F196,F196,$C$2:C196,C196),"0000"))</f>
        <v/>
      </c>
      <c r="B196" s="13" t="n"/>
      <c r="C196" s="12">
        <f>IF(ISNUMBER(B196),YEAR(B196),"")</f>
        <v/>
      </c>
      <c r="D196" s="14" t="n"/>
      <c r="E196" s="14" t="n"/>
      <c r="F196" s="12">
        <f>IF(E196="","",IFERROR(VLOOKUP(E196,LISTAS!$A$2:$C$65,2,FALSE),"Revisar"))</f>
        <v/>
      </c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2">
        <f>IF(COUNTA(B196:B196)+COUNTA(D196:E196)+COUNTA(G196:AJ196)=0,"",IF(COUNTBLANK(B196:B196)+COUNTBLANK(D196:E196)+COUNTBLANK(G196:G196)+COUNTBLANK(O196:AJ196)&gt;0,"Faltan "&amp;(COUNTBLANK(B196:B196)+COUNTBLANK(D196:E196)+COUNTBLANK(G196:G196)+COUNTBLANK(O196:AJ196))&amp;" datos obligatorios",IF(NOT(ISNUMBER(B196)),"Fecha no válida",IF(N(B196)&gt;TODAY(),"Fecha futura",IF(IFERROR(VLOOKUP(E196,LISTAS!$A$2:$C$65,3,FALSE),"")&lt;&gt;D196,"La subregión no corresponde al municipio",IF(IF(L196="",FALSE,OR(L196&lt;0,L196&gt;110)),"Edad fuera de rango",IF((V196="Sí")+(W196="Sí")+(X196="Sí")+(Y196="Sí")=0,"Marque al menos un tipo de violencia","OK")))))))</f>
        <v/>
      </c>
    </row>
    <row r="197">
      <c r="A197" s="12">
        <f>IF(OR(F197="",F197="Revisar",C197=""),"",F197&amp;"-"&amp;C197&amp;"-"&amp;TEXT(COUNTIFS($F$2:F197,F197,$C$2:C197,C197),"0000"))</f>
        <v/>
      </c>
      <c r="B197" s="13" t="n"/>
      <c r="C197" s="12">
        <f>IF(ISNUMBER(B197),YEAR(B197),"")</f>
        <v/>
      </c>
      <c r="D197" s="14" t="n"/>
      <c r="E197" s="14" t="n"/>
      <c r="F197" s="12">
        <f>IF(E197="","",IFERROR(VLOOKUP(E197,LISTAS!$A$2:$C$65,2,FALSE),"Revisar"))</f>
        <v/>
      </c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2">
        <f>IF(COUNTA(B197:B197)+COUNTA(D197:E197)+COUNTA(G197:AJ197)=0,"",IF(COUNTBLANK(B197:B197)+COUNTBLANK(D197:E197)+COUNTBLANK(G197:G197)+COUNTBLANK(O197:AJ197)&gt;0,"Faltan "&amp;(COUNTBLANK(B197:B197)+COUNTBLANK(D197:E197)+COUNTBLANK(G197:G197)+COUNTBLANK(O197:AJ197))&amp;" datos obligatorios",IF(NOT(ISNUMBER(B197)),"Fecha no válida",IF(N(B197)&gt;TODAY(),"Fecha futura",IF(IFERROR(VLOOKUP(E197,LISTAS!$A$2:$C$65,3,FALSE),"")&lt;&gt;D197,"La subregión no corresponde al municipio",IF(IF(L197="",FALSE,OR(L197&lt;0,L197&gt;110)),"Edad fuera de rango",IF((V197="Sí")+(W197="Sí")+(X197="Sí")+(Y197="Sí")=0,"Marque al menos un tipo de violencia","OK")))))))</f>
        <v/>
      </c>
    </row>
    <row r="198">
      <c r="A198" s="12">
        <f>IF(OR(F198="",F198="Revisar",C198=""),"",F198&amp;"-"&amp;C198&amp;"-"&amp;TEXT(COUNTIFS($F$2:F198,F198,$C$2:C198,C198),"0000"))</f>
        <v/>
      </c>
      <c r="B198" s="13" t="n"/>
      <c r="C198" s="12">
        <f>IF(ISNUMBER(B198),YEAR(B198),"")</f>
        <v/>
      </c>
      <c r="D198" s="14" t="n"/>
      <c r="E198" s="14" t="n"/>
      <c r="F198" s="12">
        <f>IF(E198="","",IFERROR(VLOOKUP(E198,LISTAS!$A$2:$C$65,2,FALSE),"Revisar"))</f>
        <v/>
      </c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2">
        <f>IF(COUNTA(B198:B198)+COUNTA(D198:E198)+COUNTA(G198:AJ198)=0,"",IF(COUNTBLANK(B198:B198)+COUNTBLANK(D198:E198)+COUNTBLANK(G198:G198)+COUNTBLANK(O198:AJ198)&gt;0,"Faltan "&amp;(COUNTBLANK(B198:B198)+COUNTBLANK(D198:E198)+COUNTBLANK(G198:G198)+COUNTBLANK(O198:AJ198))&amp;" datos obligatorios",IF(NOT(ISNUMBER(B198)),"Fecha no válida",IF(N(B198)&gt;TODAY(),"Fecha futura",IF(IFERROR(VLOOKUP(E198,LISTAS!$A$2:$C$65,3,FALSE),"")&lt;&gt;D198,"La subregión no corresponde al municipio",IF(IF(L198="",FALSE,OR(L198&lt;0,L198&gt;110)),"Edad fuera de rango",IF((V198="Sí")+(W198="Sí")+(X198="Sí")+(Y198="Sí")=0,"Marque al menos un tipo de violencia","OK")))))))</f>
        <v/>
      </c>
    </row>
    <row r="199">
      <c r="A199" s="12">
        <f>IF(OR(F199="",F199="Revisar",C199=""),"",F199&amp;"-"&amp;C199&amp;"-"&amp;TEXT(COUNTIFS($F$2:F199,F199,$C$2:C199,C199),"0000"))</f>
        <v/>
      </c>
      <c r="B199" s="13" t="n"/>
      <c r="C199" s="12">
        <f>IF(ISNUMBER(B199),YEAR(B199),"")</f>
        <v/>
      </c>
      <c r="D199" s="14" t="n"/>
      <c r="E199" s="14" t="n"/>
      <c r="F199" s="12">
        <f>IF(E199="","",IFERROR(VLOOKUP(E199,LISTAS!$A$2:$C$65,2,FALSE),"Revisar"))</f>
        <v/>
      </c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2">
        <f>IF(COUNTA(B199:B199)+COUNTA(D199:E199)+COUNTA(G199:AJ199)=0,"",IF(COUNTBLANK(B199:B199)+COUNTBLANK(D199:E199)+COUNTBLANK(G199:G199)+COUNTBLANK(O199:AJ199)&gt;0,"Faltan "&amp;(COUNTBLANK(B199:B199)+COUNTBLANK(D199:E199)+COUNTBLANK(G199:G199)+COUNTBLANK(O199:AJ199))&amp;" datos obligatorios",IF(NOT(ISNUMBER(B199)),"Fecha no válida",IF(N(B199)&gt;TODAY(),"Fecha futura",IF(IFERROR(VLOOKUP(E199,LISTAS!$A$2:$C$65,3,FALSE),"")&lt;&gt;D199,"La subregión no corresponde al municipio",IF(IF(L199="",FALSE,OR(L199&lt;0,L199&gt;110)),"Edad fuera de rango",IF((V199="Sí")+(W199="Sí")+(X199="Sí")+(Y199="Sí")=0,"Marque al menos un tipo de violencia","OK")))))))</f>
        <v/>
      </c>
    </row>
    <row r="200">
      <c r="A200" s="12">
        <f>IF(OR(F200="",F200="Revisar",C200=""),"",F200&amp;"-"&amp;C200&amp;"-"&amp;TEXT(COUNTIFS($F$2:F200,F200,$C$2:C200,C200),"0000"))</f>
        <v/>
      </c>
      <c r="B200" s="13" t="n"/>
      <c r="C200" s="12">
        <f>IF(ISNUMBER(B200),YEAR(B200),"")</f>
        <v/>
      </c>
      <c r="D200" s="14" t="n"/>
      <c r="E200" s="14" t="n"/>
      <c r="F200" s="12">
        <f>IF(E200="","",IFERROR(VLOOKUP(E200,LISTAS!$A$2:$C$65,2,FALSE),"Revisar"))</f>
        <v/>
      </c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2">
        <f>IF(COUNTA(B200:B200)+COUNTA(D200:E200)+COUNTA(G200:AJ200)=0,"",IF(COUNTBLANK(B200:B200)+COUNTBLANK(D200:E200)+COUNTBLANK(G200:G200)+COUNTBLANK(O200:AJ200)&gt;0,"Faltan "&amp;(COUNTBLANK(B200:B200)+COUNTBLANK(D200:E200)+COUNTBLANK(G200:G200)+COUNTBLANK(O200:AJ200))&amp;" datos obligatorios",IF(NOT(ISNUMBER(B200)),"Fecha no válida",IF(N(B200)&gt;TODAY(),"Fecha futura",IF(IFERROR(VLOOKUP(E200,LISTAS!$A$2:$C$65,3,FALSE),"")&lt;&gt;D200,"La subregión no corresponde al municipio",IF(IF(L200="",FALSE,OR(L200&lt;0,L200&gt;110)),"Edad fuera de rango",IF((V200="Sí")+(W200="Sí")+(X200="Sí")+(Y200="Sí")=0,"Marque al menos un tipo de violencia","OK")))))))</f>
        <v/>
      </c>
    </row>
    <row r="201">
      <c r="A201" s="12">
        <f>IF(OR(F201="",F201="Revisar",C201=""),"",F201&amp;"-"&amp;C201&amp;"-"&amp;TEXT(COUNTIFS($F$2:F201,F201,$C$2:C201,C201),"0000"))</f>
        <v/>
      </c>
      <c r="B201" s="13" t="n"/>
      <c r="C201" s="12">
        <f>IF(ISNUMBER(B201),YEAR(B201),"")</f>
        <v/>
      </c>
      <c r="D201" s="14" t="n"/>
      <c r="E201" s="14" t="n"/>
      <c r="F201" s="12">
        <f>IF(E201="","",IFERROR(VLOOKUP(E201,LISTAS!$A$2:$C$65,2,FALSE),"Revisar"))</f>
        <v/>
      </c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2">
        <f>IF(COUNTA(B201:B201)+COUNTA(D201:E201)+COUNTA(G201:AJ201)=0,"",IF(COUNTBLANK(B201:B201)+COUNTBLANK(D201:E201)+COUNTBLANK(G201:G201)+COUNTBLANK(O201:AJ201)&gt;0,"Faltan "&amp;(COUNTBLANK(B201:B201)+COUNTBLANK(D201:E201)+COUNTBLANK(G201:G201)+COUNTBLANK(O201:AJ201))&amp;" datos obligatorios",IF(NOT(ISNUMBER(B201)),"Fecha no válida",IF(N(B201)&gt;TODAY(),"Fecha futura",IF(IFERROR(VLOOKUP(E201,LISTAS!$A$2:$C$65,3,FALSE),"")&lt;&gt;D201,"La subregión no corresponde al municipio",IF(IF(L201="",FALSE,OR(L201&lt;0,L201&gt;110)),"Edad fuera de rango",IF((V201="Sí")+(W201="Sí")+(X201="Sí")+(Y201="Sí")=0,"Marque al menos un tipo de violencia","OK")))))))</f>
        <v/>
      </c>
    </row>
    <row r="202">
      <c r="A202" s="12">
        <f>IF(OR(F202="",F202="Revisar",C202=""),"",F202&amp;"-"&amp;C202&amp;"-"&amp;TEXT(COUNTIFS($F$2:F202,F202,$C$2:C202,C202),"0000"))</f>
        <v/>
      </c>
      <c r="B202" s="13" t="n"/>
      <c r="C202" s="12">
        <f>IF(ISNUMBER(B202),YEAR(B202),"")</f>
        <v/>
      </c>
      <c r="D202" s="14" t="n"/>
      <c r="E202" s="14" t="n"/>
      <c r="F202" s="12">
        <f>IF(E202="","",IFERROR(VLOOKUP(E202,LISTAS!$A$2:$C$65,2,FALSE),"Revisar"))</f>
        <v/>
      </c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2">
        <f>IF(COUNTA(B202:B202)+COUNTA(D202:E202)+COUNTA(G202:AJ202)=0,"",IF(COUNTBLANK(B202:B202)+COUNTBLANK(D202:E202)+COUNTBLANK(G202:G202)+COUNTBLANK(O202:AJ202)&gt;0,"Faltan "&amp;(COUNTBLANK(B202:B202)+COUNTBLANK(D202:E202)+COUNTBLANK(G202:G202)+COUNTBLANK(O202:AJ202))&amp;" datos obligatorios",IF(NOT(ISNUMBER(B202)),"Fecha no válida",IF(N(B202)&gt;TODAY(),"Fecha futura",IF(IFERROR(VLOOKUP(E202,LISTAS!$A$2:$C$65,3,FALSE),"")&lt;&gt;D202,"La subregión no corresponde al municipio",IF(IF(L202="",FALSE,OR(L202&lt;0,L202&gt;110)),"Edad fuera de rango",IF((V202="Sí")+(W202="Sí")+(X202="Sí")+(Y202="Sí")=0,"Marque al menos un tipo de violencia","OK")))))))</f>
        <v/>
      </c>
    </row>
    <row r="203">
      <c r="A203" s="12">
        <f>IF(OR(F203="",F203="Revisar",C203=""),"",F203&amp;"-"&amp;C203&amp;"-"&amp;TEXT(COUNTIFS($F$2:F203,F203,$C$2:C203,C203),"0000"))</f>
        <v/>
      </c>
      <c r="B203" s="13" t="n"/>
      <c r="C203" s="12">
        <f>IF(ISNUMBER(B203),YEAR(B203),"")</f>
        <v/>
      </c>
      <c r="D203" s="14" t="n"/>
      <c r="E203" s="14" t="n"/>
      <c r="F203" s="12">
        <f>IF(E203="","",IFERROR(VLOOKUP(E203,LISTAS!$A$2:$C$65,2,FALSE),"Revisar"))</f>
        <v/>
      </c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2">
        <f>IF(COUNTA(B203:B203)+COUNTA(D203:E203)+COUNTA(G203:AJ203)=0,"",IF(COUNTBLANK(B203:B203)+COUNTBLANK(D203:E203)+COUNTBLANK(G203:G203)+COUNTBLANK(O203:AJ203)&gt;0,"Faltan "&amp;(COUNTBLANK(B203:B203)+COUNTBLANK(D203:E203)+COUNTBLANK(G203:G203)+COUNTBLANK(O203:AJ203))&amp;" datos obligatorios",IF(NOT(ISNUMBER(B203)),"Fecha no válida",IF(N(B203)&gt;TODAY(),"Fecha futura",IF(IFERROR(VLOOKUP(E203,LISTAS!$A$2:$C$65,3,FALSE),"")&lt;&gt;D203,"La subregión no corresponde al municipio",IF(IF(L203="",FALSE,OR(L203&lt;0,L203&gt;110)),"Edad fuera de rango",IF((V203="Sí")+(W203="Sí")+(X203="Sí")+(Y203="Sí")=0,"Marque al menos un tipo de violencia","OK")))))))</f>
        <v/>
      </c>
    </row>
    <row r="204">
      <c r="A204" s="12">
        <f>IF(OR(F204="",F204="Revisar",C204=""),"",F204&amp;"-"&amp;C204&amp;"-"&amp;TEXT(COUNTIFS($F$2:F204,F204,$C$2:C204,C204),"0000"))</f>
        <v/>
      </c>
      <c r="B204" s="13" t="n"/>
      <c r="C204" s="12">
        <f>IF(ISNUMBER(B204),YEAR(B204),"")</f>
        <v/>
      </c>
      <c r="D204" s="14" t="n"/>
      <c r="E204" s="14" t="n"/>
      <c r="F204" s="12">
        <f>IF(E204="","",IFERROR(VLOOKUP(E204,LISTAS!$A$2:$C$65,2,FALSE),"Revisar"))</f>
        <v/>
      </c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2">
        <f>IF(COUNTA(B204:B204)+COUNTA(D204:E204)+COUNTA(G204:AJ204)=0,"",IF(COUNTBLANK(B204:B204)+COUNTBLANK(D204:E204)+COUNTBLANK(G204:G204)+COUNTBLANK(O204:AJ204)&gt;0,"Faltan "&amp;(COUNTBLANK(B204:B204)+COUNTBLANK(D204:E204)+COUNTBLANK(G204:G204)+COUNTBLANK(O204:AJ204))&amp;" datos obligatorios",IF(NOT(ISNUMBER(B204)),"Fecha no válida",IF(N(B204)&gt;TODAY(),"Fecha futura",IF(IFERROR(VLOOKUP(E204,LISTAS!$A$2:$C$65,3,FALSE),"")&lt;&gt;D204,"La subregión no corresponde al municipio",IF(IF(L204="",FALSE,OR(L204&lt;0,L204&gt;110)),"Edad fuera de rango",IF((V204="Sí")+(W204="Sí")+(X204="Sí")+(Y204="Sí")=0,"Marque al menos un tipo de violencia","OK")))))))</f>
        <v/>
      </c>
    </row>
    <row r="205">
      <c r="A205" s="12">
        <f>IF(OR(F205="",F205="Revisar",C205=""),"",F205&amp;"-"&amp;C205&amp;"-"&amp;TEXT(COUNTIFS($F$2:F205,F205,$C$2:C205,C205),"0000"))</f>
        <v/>
      </c>
      <c r="B205" s="13" t="n"/>
      <c r="C205" s="12">
        <f>IF(ISNUMBER(B205),YEAR(B205),"")</f>
        <v/>
      </c>
      <c r="D205" s="14" t="n"/>
      <c r="E205" s="14" t="n"/>
      <c r="F205" s="12">
        <f>IF(E205="","",IFERROR(VLOOKUP(E205,LISTAS!$A$2:$C$65,2,FALSE),"Revisar"))</f>
        <v/>
      </c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2">
        <f>IF(COUNTA(B205:B205)+COUNTA(D205:E205)+COUNTA(G205:AJ205)=0,"",IF(COUNTBLANK(B205:B205)+COUNTBLANK(D205:E205)+COUNTBLANK(G205:G205)+COUNTBLANK(O205:AJ205)&gt;0,"Faltan "&amp;(COUNTBLANK(B205:B205)+COUNTBLANK(D205:E205)+COUNTBLANK(G205:G205)+COUNTBLANK(O205:AJ205))&amp;" datos obligatorios",IF(NOT(ISNUMBER(B205)),"Fecha no válida",IF(N(B205)&gt;TODAY(),"Fecha futura",IF(IFERROR(VLOOKUP(E205,LISTAS!$A$2:$C$65,3,FALSE),"")&lt;&gt;D205,"La subregión no corresponde al municipio",IF(IF(L205="",FALSE,OR(L205&lt;0,L205&gt;110)),"Edad fuera de rango",IF((V205="Sí")+(W205="Sí")+(X205="Sí")+(Y205="Sí")=0,"Marque al menos un tipo de violencia","OK")))))))</f>
        <v/>
      </c>
    </row>
    <row r="206">
      <c r="A206" s="12">
        <f>IF(OR(F206="",F206="Revisar",C206=""),"",F206&amp;"-"&amp;C206&amp;"-"&amp;TEXT(COUNTIFS($F$2:F206,F206,$C$2:C206,C206),"0000"))</f>
        <v/>
      </c>
      <c r="B206" s="13" t="n"/>
      <c r="C206" s="12">
        <f>IF(ISNUMBER(B206),YEAR(B206),"")</f>
        <v/>
      </c>
      <c r="D206" s="14" t="n"/>
      <c r="E206" s="14" t="n"/>
      <c r="F206" s="12">
        <f>IF(E206="","",IFERROR(VLOOKUP(E206,LISTAS!$A$2:$C$65,2,FALSE),"Revisar"))</f>
        <v/>
      </c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2">
        <f>IF(COUNTA(B206:B206)+COUNTA(D206:E206)+COUNTA(G206:AJ206)=0,"",IF(COUNTBLANK(B206:B206)+COUNTBLANK(D206:E206)+COUNTBLANK(G206:G206)+COUNTBLANK(O206:AJ206)&gt;0,"Faltan "&amp;(COUNTBLANK(B206:B206)+COUNTBLANK(D206:E206)+COUNTBLANK(G206:G206)+COUNTBLANK(O206:AJ206))&amp;" datos obligatorios",IF(NOT(ISNUMBER(B206)),"Fecha no válida",IF(N(B206)&gt;TODAY(),"Fecha futura",IF(IFERROR(VLOOKUP(E206,LISTAS!$A$2:$C$65,3,FALSE),"")&lt;&gt;D206,"La subregión no corresponde al municipio",IF(IF(L206="",FALSE,OR(L206&lt;0,L206&gt;110)),"Edad fuera de rango",IF((V206="Sí")+(W206="Sí")+(X206="Sí")+(Y206="Sí")=0,"Marque al menos un tipo de violencia","OK")))))))</f>
        <v/>
      </c>
    </row>
    <row r="207">
      <c r="A207" s="12">
        <f>IF(OR(F207="",F207="Revisar",C207=""),"",F207&amp;"-"&amp;C207&amp;"-"&amp;TEXT(COUNTIFS($F$2:F207,F207,$C$2:C207,C207),"0000"))</f>
        <v/>
      </c>
      <c r="B207" s="13" t="n"/>
      <c r="C207" s="12">
        <f>IF(ISNUMBER(B207),YEAR(B207),"")</f>
        <v/>
      </c>
      <c r="D207" s="14" t="n"/>
      <c r="E207" s="14" t="n"/>
      <c r="F207" s="12">
        <f>IF(E207="","",IFERROR(VLOOKUP(E207,LISTAS!$A$2:$C$65,2,FALSE),"Revisar"))</f>
        <v/>
      </c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2">
        <f>IF(COUNTA(B207:B207)+COUNTA(D207:E207)+COUNTA(G207:AJ207)=0,"",IF(COUNTBLANK(B207:B207)+COUNTBLANK(D207:E207)+COUNTBLANK(G207:G207)+COUNTBLANK(O207:AJ207)&gt;0,"Faltan "&amp;(COUNTBLANK(B207:B207)+COUNTBLANK(D207:E207)+COUNTBLANK(G207:G207)+COUNTBLANK(O207:AJ207))&amp;" datos obligatorios",IF(NOT(ISNUMBER(B207)),"Fecha no válida",IF(N(B207)&gt;TODAY(),"Fecha futura",IF(IFERROR(VLOOKUP(E207,LISTAS!$A$2:$C$65,3,FALSE),"")&lt;&gt;D207,"La subregión no corresponde al municipio",IF(IF(L207="",FALSE,OR(L207&lt;0,L207&gt;110)),"Edad fuera de rango",IF((V207="Sí")+(W207="Sí")+(X207="Sí")+(Y207="Sí")=0,"Marque al menos un tipo de violencia","OK")))))))</f>
        <v/>
      </c>
    </row>
    <row r="208">
      <c r="A208" s="12">
        <f>IF(OR(F208="",F208="Revisar",C208=""),"",F208&amp;"-"&amp;C208&amp;"-"&amp;TEXT(COUNTIFS($F$2:F208,F208,$C$2:C208,C208),"0000"))</f>
        <v/>
      </c>
      <c r="B208" s="13" t="n"/>
      <c r="C208" s="12">
        <f>IF(ISNUMBER(B208),YEAR(B208),"")</f>
        <v/>
      </c>
      <c r="D208" s="14" t="n"/>
      <c r="E208" s="14" t="n"/>
      <c r="F208" s="12">
        <f>IF(E208="","",IFERROR(VLOOKUP(E208,LISTAS!$A$2:$C$65,2,FALSE),"Revisar"))</f>
        <v/>
      </c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2">
        <f>IF(COUNTA(B208:B208)+COUNTA(D208:E208)+COUNTA(G208:AJ208)=0,"",IF(COUNTBLANK(B208:B208)+COUNTBLANK(D208:E208)+COUNTBLANK(G208:G208)+COUNTBLANK(O208:AJ208)&gt;0,"Faltan "&amp;(COUNTBLANK(B208:B208)+COUNTBLANK(D208:E208)+COUNTBLANK(G208:G208)+COUNTBLANK(O208:AJ208))&amp;" datos obligatorios",IF(NOT(ISNUMBER(B208)),"Fecha no válida",IF(N(B208)&gt;TODAY(),"Fecha futura",IF(IFERROR(VLOOKUP(E208,LISTAS!$A$2:$C$65,3,FALSE),"")&lt;&gt;D208,"La subregión no corresponde al municipio",IF(IF(L208="",FALSE,OR(L208&lt;0,L208&gt;110)),"Edad fuera de rango",IF((V208="Sí")+(W208="Sí")+(X208="Sí")+(Y208="Sí")=0,"Marque al menos un tipo de violencia","OK")))))))</f>
        <v/>
      </c>
    </row>
    <row r="209">
      <c r="A209" s="12">
        <f>IF(OR(F209="",F209="Revisar",C209=""),"",F209&amp;"-"&amp;C209&amp;"-"&amp;TEXT(COUNTIFS($F$2:F209,F209,$C$2:C209,C209),"0000"))</f>
        <v/>
      </c>
      <c r="B209" s="13" t="n"/>
      <c r="C209" s="12">
        <f>IF(ISNUMBER(B209),YEAR(B209),"")</f>
        <v/>
      </c>
      <c r="D209" s="14" t="n"/>
      <c r="E209" s="14" t="n"/>
      <c r="F209" s="12">
        <f>IF(E209="","",IFERROR(VLOOKUP(E209,LISTAS!$A$2:$C$65,2,FALSE),"Revisar"))</f>
        <v/>
      </c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2">
        <f>IF(COUNTA(B209:B209)+COUNTA(D209:E209)+COUNTA(G209:AJ209)=0,"",IF(COUNTBLANK(B209:B209)+COUNTBLANK(D209:E209)+COUNTBLANK(G209:G209)+COUNTBLANK(O209:AJ209)&gt;0,"Faltan "&amp;(COUNTBLANK(B209:B209)+COUNTBLANK(D209:E209)+COUNTBLANK(G209:G209)+COUNTBLANK(O209:AJ209))&amp;" datos obligatorios",IF(NOT(ISNUMBER(B209)),"Fecha no válida",IF(N(B209)&gt;TODAY(),"Fecha futura",IF(IFERROR(VLOOKUP(E209,LISTAS!$A$2:$C$65,3,FALSE),"")&lt;&gt;D209,"La subregión no corresponde al municipio",IF(IF(L209="",FALSE,OR(L209&lt;0,L209&gt;110)),"Edad fuera de rango",IF((V209="Sí")+(W209="Sí")+(X209="Sí")+(Y209="Sí")=0,"Marque al menos un tipo de violencia","OK")))))))</f>
        <v/>
      </c>
    </row>
    <row r="210">
      <c r="A210" s="12">
        <f>IF(OR(F210="",F210="Revisar",C210=""),"",F210&amp;"-"&amp;C210&amp;"-"&amp;TEXT(COUNTIFS($F$2:F210,F210,$C$2:C210,C210),"0000"))</f>
        <v/>
      </c>
      <c r="B210" s="13" t="n"/>
      <c r="C210" s="12">
        <f>IF(ISNUMBER(B210),YEAR(B210),"")</f>
        <v/>
      </c>
      <c r="D210" s="14" t="n"/>
      <c r="E210" s="14" t="n"/>
      <c r="F210" s="12">
        <f>IF(E210="","",IFERROR(VLOOKUP(E210,LISTAS!$A$2:$C$65,2,FALSE),"Revisar"))</f>
        <v/>
      </c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2">
        <f>IF(COUNTA(B210:B210)+COUNTA(D210:E210)+COUNTA(G210:AJ210)=0,"",IF(COUNTBLANK(B210:B210)+COUNTBLANK(D210:E210)+COUNTBLANK(G210:G210)+COUNTBLANK(O210:AJ210)&gt;0,"Faltan "&amp;(COUNTBLANK(B210:B210)+COUNTBLANK(D210:E210)+COUNTBLANK(G210:G210)+COUNTBLANK(O210:AJ210))&amp;" datos obligatorios",IF(NOT(ISNUMBER(B210)),"Fecha no válida",IF(N(B210)&gt;TODAY(),"Fecha futura",IF(IFERROR(VLOOKUP(E210,LISTAS!$A$2:$C$65,3,FALSE),"")&lt;&gt;D210,"La subregión no corresponde al municipio",IF(IF(L210="",FALSE,OR(L210&lt;0,L210&gt;110)),"Edad fuera de rango",IF((V210="Sí")+(W210="Sí")+(X210="Sí")+(Y210="Sí")=0,"Marque al menos un tipo de violencia","OK")))))))</f>
        <v/>
      </c>
    </row>
    <row r="211">
      <c r="A211" s="12">
        <f>IF(OR(F211="",F211="Revisar",C211=""),"",F211&amp;"-"&amp;C211&amp;"-"&amp;TEXT(COUNTIFS($F$2:F211,F211,$C$2:C211,C211),"0000"))</f>
        <v/>
      </c>
      <c r="B211" s="13" t="n"/>
      <c r="C211" s="12">
        <f>IF(ISNUMBER(B211),YEAR(B211),"")</f>
        <v/>
      </c>
      <c r="D211" s="14" t="n"/>
      <c r="E211" s="14" t="n"/>
      <c r="F211" s="12">
        <f>IF(E211="","",IFERROR(VLOOKUP(E211,LISTAS!$A$2:$C$65,2,FALSE),"Revisar"))</f>
        <v/>
      </c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2">
        <f>IF(COUNTA(B211:B211)+COUNTA(D211:E211)+COUNTA(G211:AJ211)=0,"",IF(COUNTBLANK(B211:B211)+COUNTBLANK(D211:E211)+COUNTBLANK(G211:G211)+COUNTBLANK(O211:AJ211)&gt;0,"Faltan "&amp;(COUNTBLANK(B211:B211)+COUNTBLANK(D211:E211)+COUNTBLANK(G211:G211)+COUNTBLANK(O211:AJ211))&amp;" datos obligatorios",IF(NOT(ISNUMBER(B211)),"Fecha no válida",IF(N(B211)&gt;TODAY(),"Fecha futura",IF(IFERROR(VLOOKUP(E211,LISTAS!$A$2:$C$65,3,FALSE),"")&lt;&gt;D211,"La subregión no corresponde al municipio",IF(IF(L211="",FALSE,OR(L211&lt;0,L211&gt;110)),"Edad fuera de rango",IF((V211="Sí")+(W211="Sí")+(X211="Sí")+(Y211="Sí")=0,"Marque al menos un tipo de violencia","OK")))))))</f>
        <v/>
      </c>
    </row>
    <row r="212">
      <c r="A212" s="12">
        <f>IF(OR(F212="",F212="Revisar",C212=""),"",F212&amp;"-"&amp;C212&amp;"-"&amp;TEXT(COUNTIFS($F$2:F212,F212,$C$2:C212,C212),"0000"))</f>
        <v/>
      </c>
      <c r="B212" s="13" t="n"/>
      <c r="C212" s="12">
        <f>IF(ISNUMBER(B212),YEAR(B212),"")</f>
        <v/>
      </c>
      <c r="D212" s="14" t="n"/>
      <c r="E212" s="14" t="n"/>
      <c r="F212" s="12">
        <f>IF(E212="","",IFERROR(VLOOKUP(E212,LISTAS!$A$2:$C$65,2,FALSE),"Revisar"))</f>
        <v/>
      </c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2">
        <f>IF(COUNTA(B212:B212)+COUNTA(D212:E212)+COUNTA(G212:AJ212)=0,"",IF(COUNTBLANK(B212:B212)+COUNTBLANK(D212:E212)+COUNTBLANK(G212:G212)+COUNTBLANK(O212:AJ212)&gt;0,"Faltan "&amp;(COUNTBLANK(B212:B212)+COUNTBLANK(D212:E212)+COUNTBLANK(G212:G212)+COUNTBLANK(O212:AJ212))&amp;" datos obligatorios",IF(NOT(ISNUMBER(B212)),"Fecha no válida",IF(N(B212)&gt;TODAY(),"Fecha futura",IF(IFERROR(VLOOKUP(E212,LISTAS!$A$2:$C$65,3,FALSE),"")&lt;&gt;D212,"La subregión no corresponde al municipio",IF(IF(L212="",FALSE,OR(L212&lt;0,L212&gt;110)),"Edad fuera de rango",IF((V212="Sí")+(W212="Sí")+(X212="Sí")+(Y212="Sí")=0,"Marque al menos un tipo de violencia","OK")))))))</f>
        <v/>
      </c>
    </row>
    <row r="213">
      <c r="A213" s="12">
        <f>IF(OR(F213="",F213="Revisar",C213=""),"",F213&amp;"-"&amp;C213&amp;"-"&amp;TEXT(COUNTIFS($F$2:F213,F213,$C$2:C213,C213),"0000"))</f>
        <v/>
      </c>
      <c r="B213" s="13" t="n"/>
      <c r="C213" s="12">
        <f>IF(ISNUMBER(B213),YEAR(B213),"")</f>
        <v/>
      </c>
      <c r="D213" s="14" t="n"/>
      <c r="E213" s="14" t="n"/>
      <c r="F213" s="12">
        <f>IF(E213="","",IFERROR(VLOOKUP(E213,LISTAS!$A$2:$C$65,2,FALSE),"Revisar"))</f>
        <v/>
      </c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2">
        <f>IF(COUNTA(B213:B213)+COUNTA(D213:E213)+COUNTA(G213:AJ213)=0,"",IF(COUNTBLANK(B213:B213)+COUNTBLANK(D213:E213)+COUNTBLANK(G213:G213)+COUNTBLANK(O213:AJ213)&gt;0,"Faltan "&amp;(COUNTBLANK(B213:B213)+COUNTBLANK(D213:E213)+COUNTBLANK(G213:G213)+COUNTBLANK(O213:AJ213))&amp;" datos obligatorios",IF(NOT(ISNUMBER(B213)),"Fecha no válida",IF(N(B213)&gt;TODAY(),"Fecha futura",IF(IFERROR(VLOOKUP(E213,LISTAS!$A$2:$C$65,3,FALSE),"")&lt;&gt;D213,"La subregión no corresponde al municipio",IF(IF(L213="",FALSE,OR(L213&lt;0,L213&gt;110)),"Edad fuera de rango",IF((V213="Sí")+(W213="Sí")+(X213="Sí")+(Y213="Sí")=0,"Marque al menos un tipo de violencia","OK")))))))</f>
        <v/>
      </c>
    </row>
    <row r="214">
      <c r="A214" s="12">
        <f>IF(OR(F214="",F214="Revisar",C214=""),"",F214&amp;"-"&amp;C214&amp;"-"&amp;TEXT(COUNTIFS($F$2:F214,F214,$C$2:C214,C214),"0000"))</f>
        <v/>
      </c>
      <c r="B214" s="13" t="n"/>
      <c r="C214" s="12">
        <f>IF(ISNUMBER(B214),YEAR(B214),"")</f>
        <v/>
      </c>
      <c r="D214" s="14" t="n"/>
      <c r="E214" s="14" t="n"/>
      <c r="F214" s="12">
        <f>IF(E214="","",IFERROR(VLOOKUP(E214,LISTAS!$A$2:$C$65,2,FALSE),"Revisar"))</f>
        <v/>
      </c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2">
        <f>IF(COUNTA(B214:B214)+COUNTA(D214:E214)+COUNTA(G214:AJ214)=0,"",IF(COUNTBLANK(B214:B214)+COUNTBLANK(D214:E214)+COUNTBLANK(G214:G214)+COUNTBLANK(O214:AJ214)&gt;0,"Faltan "&amp;(COUNTBLANK(B214:B214)+COUNTBLANK(D214:E214)+COUNTBLANK(G214:G214)+COUNTBLANK(O214:AJ214))&amp;" datos obligatorios",IF(NOT(ISNUMBER(B214)),"Fecha no válida",IF(N(B214)&gt;TODAY(),"Fecha futura",IF(IFERROR(VLOOKUP(E214,LISTAS!$A$2:$C$65,3,FALSE),"")&lt;&gt;D214,"La subregión no corresponde al municipio",IF(IF(L214="",FALSE,OR(L214&lt;0,L214&gt;110)),"Edad fuera de rango",IF((V214="Sí")+(W214="Sí")+(X214="Sí")+(Y214="Sí")=0,"Marque al menos un tipo de violencia","OK")))))))</f>
        <v/>
      </c>
    </row>
    <row r="215">
      <c r="A215" s="12">
        <f>IF(OR(F215="",F215="Revisar",C215=""),"",F215&amp;"-"&amp;C215&amp;"-"&amp;TEXT(COUNTIFS($F$2:F215,F215,$C$2:C215,C215),"0000"))</f>
        <v/>
      </c>
      <c r="B215" s="13" t="n"/>
      <c r="C215" s="12">
        <f>IF(ISNUMBER(B215),YEAR(B215),"")</f>
        <v/>
      </c>
      <c r="D215" s="14" t="n"/>
      <c r="E215" s="14" t="n"/>
      <c r="F215" s="12">
        <f>IF(E215="","",IFERROR(VLOOKUP(E215,LISTAS!$A$2:$C$65,2,FALSE),"Revisar"))</f>
        <v/>
      </c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2">
        <f>IF(COUNTA(B215:B215)+COUNTA(D215:E215)+COUNTA(G215:AJ215)=0,"",IF(COUNTBLANK(B215:B215)+COUNTBLANK(D215:E215)+COUNTBLANK(G215:G215)+COUNTBLANK(O215:AJ215)&gt;0,"Faltan "&amp;(COUNTBLANK(B215:B215)+COUNTBLANK(D215:E215)+COUNTBLANK(G215:G215)+COUNTBLANK(O215:AJ215))&amp;" datos obligatorios",IF(NOT(ISNUMBER(B215)),"Fecha no válida",IF(N(B215)&gt;TODAY(),"Fecha futura",IF(IFERROR(VLOOKUP(E215,LISTAS!$A$2:$C$65,3,FALSE),"")&lt;&gt;D215,"La subregión no corresponde al municipio",IF(IF(L215="",FALSE,OR(L215&lt;0,L215&gt;110)),"Edad fuera de rango",IF((V215="Sí")+(W215="Sí")+(X215="Sí")+(Y215="Sí")=0,"Marque al menos un tipo de violencia","OK")))))))</f>
        <v/>
      </c>
    </row>
    <row r="216">
      <c r="A216" s="12">
        <f>IF(OR(F216="",F216="Revisar",C216=""),"",F216&amp;"-"&amp;C216&amp;"-"&amp;TEXT(COUNTIFS($F$2:F216,F216,$C$2:C216,C216),"0000"))</f>
        <v/>
      </c>
      <c r="B216" s="13" t="n"/>
      <c r="C216" s="12">
        <f>IF(ISNUMBER(B216),YEAR(B216),"")</f>
        <v/>
      </c>
      <c r="D216" s="14" t="n"/>
      <c r="E216" s="14" t="n"/>
      <c r="F216" s="12">
        <f>IF(E216="","",IFERROR(VLOOKUP(E216,LISTAS!$A$2:$C$65,2,FALSE),"Revisar"))</f>
        <v/>
      </c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2">
        <f>IF(COUNTA(B216:B216)+COUNTA(D216:E216)+COUNTA(G216:AJ216)=0,"",IF(COUNTBLANK(B216:B216)+COUNTBLANK(D216:E216)+COUNTBLANK(G216:G216)+COUNTBLANK(O216:AJ216)&gt;0,"Faltan "&amp;(COUNTBLANK(B216:B216)+COUNTBLANK(D216:E216)+COUNTBLANK(G216:G216)+COUNTBLANK(O216:AJ216))&amp;" datos obligatorios",IF(NOT(ISNUMBER(B216)),"Fecha no válida",IF(N(B216)&gt;TODAY(),"Fecha futura",IF(IFERROR(VLOOKUP(E216,LISTAS!$A$2:$C$65,3,FALSE),"")&lt;&gt;D216,"La subregión no corresponde al municipio",IF(IF(L216="",FALSE,OR(L216&lt;0,L216&gt;110)),"Edad fuera de rango",IF((V216="Sí")+(W216="Sí")+(X216="Sí")+(Y216="Sí")=0,"Marque al menos un tipo de violencia","OK")))))))</f>
        <v/>
      </c>
    </row>
    <row r="217">
      <c r="A217" s="12">
        <f>IF(OR(F217="",F217="Revisar",C217=""),"",F217&amp;"-"&amp;C217&amp;"-"&amp;TEXT(COUNTIFS($F$2:F217,F217,$C$2:C217,C217),"0000"))</f>
        <v/>
      </c>
      <c r="B217" s="13" t="n"/>
      <c r="C217" s="12">
        <f>IF(ISNUMBER(B217),YEAR(B217),"")</f>
        <v/>
      </c>
      <c r="D217" s="14" t="n"/>
      <c r="E217" s="14" t="n"/>
      <c r="F217" s="12">
        <f>IF(E217="","",IFERROR(VLOOKUP(E217,LISTAS!$A$2:$C$65,2,FALSE),"Revisar"))</f>
        <v/>
      </c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2">
        <f>IF(COUNTA(B217:B217)+COUNTA(D217:E217)+COUNTA(G217:AJ217)=0,"",IF(COUNTBLANK(B217:B217)+COUNTBLANK(D217:E217)+COUNTBLANK(G217:G217)+COUNTBLANK(O217:AJ217)&gt;0,"Faltan "&amp;(COUNTBLANK(B217:B217)+COUNTBLANK(D217:E217)+COUNTBLANK(G217:G217)+COUNTBLANK(O217:AJ217))&amp;" datos obligatorios",IF(NOT(ISNUMBER(B217)),"Fecha no válida",IF(N(B217)&gt;TODAY(),"Fecha futura",IF(IFERROR(VLOOKUP(E217,LISTAS!$A$2:$C$65,3,FALSE),"")&lt;&gt;D217,"La subregión no corresponde al municipio",IF(IF(L217="",FALSE,OR(L217&lt;0,L217&gt;110)),"Edad fuera de rango",IF((V217="Sí")+(W217="Sí")+(X217="Sí")+(Y217="Sí")=0,"Marque al menos un tipo de violencia","OK")))))))</f>
        <v/>
      </c>
    </row>
    <row r="218">
      <c r="A218" s="12">
        <f>IF(OR(F218="",F218="Revisar",C218=""),"",F218&amp;"-"&amp;C218&amp;"-"&amp;TEXT(COUNTIFS($F$2:F218,F218,$C$2:C218,C218),"0000"))</f>
        <v/>
      </c>
      <c r="B218" s="13" t="n"/>
      <c r="C218" s="12">
        <f>IF(ISNUMBER(B218),YEAR(B218),"")</f>
        <v/>
      </c>
      <c r="D218" s="14" t="n"/>
      <c r="E218" s="14" t="n"/>
      <c r="F218" s="12">
        <f>IF(E218="","",IFERROR(VLOOKUP(E218,LISTAS!$A$2:$C$65,2,FALSE),"Revisar"))</f>
        <v/>
      </c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2">
        <f>IF(COUNTA(B218:B218)+COUNTA(D218:E218)+COUNTA(G218:AJ218)=0,"",IF(COUNTBLANK(B218:B218)+COUNTBLANK(D218:E218)+COUNTBLANK(G218:G218)+COUNTBLANK(O218:AJ218)&gt;0,"Faltan "&amp;(COUNTBLANK(B218:B218)+COUNTBLANK(D218:E218)+COUNTBLANK(G218:G218)+COUNTBLANK(O218:AJ218))&amp;" datos obligatorios",IF(NOT(ISNUMBER(B218)),"Fecha no válida",IF(N(B218)&gt;TODAY(),"Fecha futura",IF(IFERROR(VLOOKUP(E218,LISTAS!$A$2:$C$65,3,FALSE),"")&lt;&gt;D218,"La subregión no corresponde al municipio",IF(IF(L218="",FALSE,OR(L218&lt;0,L218&gt;110)),"Edad fuera de rango",IF((V218="Sí")+(W218="Sí")+(X218="Sí")+(Y218="Sí")=0,"Marque al menos un tipo de violencia","OK")))))))</f>
        <v/>
      </c>
    </row>
    <row r="219">
      <c r="A219" s="12">
        <f>IF(OR(F219="",F219="Revisar",C219=""),"",F219&amp;"-"&amp;C219&amp;"-"&amp;TEXT(COUNTIFS($F$2:F219,F219,$C$2:C219,C219),"0000"))</f>
        <v/>
      </c>
      <c r="B219" s="13" t="n"/>
      <c r="C219" s="12">
        <f>IF(ISNUMBER(B219),YEAR(B219),"")</f>
        <v/>
      </c>
      <c r="D219" s="14" t="n"/>
      <c r="E219" s="14" t="n"/>
      <c r="F219" s="12">
        <f>IF(E219="","",IFERROR(VLOOKUP(E219,LISTAS!$A$2:$C$65,2,FALSE),"Revisar"))</f>
        <v/>
      </c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2">
        <f>IF(COUNTA(B219:B219)+COUNTA(D219:E219)+COUNTA(G219:AJ219)=0,"",IF(COUNTBLANK(B219:B219)+COUNTBLANK(D219:E219)+COUNTBLANK(G219:G219)+COUNTBLANK(O219:AJ219)&gt;0,"Faltan "&amp;(COUNTBLANK(B219:B219)+COUNTBLANK(D219:E219)+COUNTBLANK(G219:G219)+COUNTBLANK(O219:AJ219))&amp;" datos obligatorios",IF(NOT(ISNUMBER(B219)),"Fecha no válida",IF(N(B219)&gt;TODAY(),"Fecha futura",IF(IFERROR(VLOOKUP(E219,LISTAS!$A$2:$C$65,3,FALSE),"")&lt;&gt;D219,"La subregión no corresponde al municipio",IF(IF(L219="",FALSE,OR(L219&lt;0,L219&gt;110)),"Edad fuera de rango",IF((V219="Sí")+(W219="Sí")+(X219="Sí")+(Y219="Sí")=0,"Marque al menos un tipo de violencia","OK")))))))</f>
        <v/>
      </c>
    </row>
    <row r="220">
      <c r="A220" s="12">
        <f>IF(OR(F220="",F220="Revisar",C220=""),"",F220&amp;"-"&amp;C220&amp;"-"&amp;TEXT(COUNTIFS($F$2:F220,F220,$C$2:C220,C220),"0000"))</f>
        <v/>
      </c>
      <c r="B220" s="13" t="n"/>
      <c r="C220" s="12">
        <f>IF(ISNUMBER(B220),YEAR(B220),"")</f>
        <v/>
      </c>
      <c r="D220" s="14" t="n"/>
      <c r="E220" s="14" t="n"/>
      <c r="F220" s="12">
        <f>IF(E220="","",IFERROR(VLOOKUP(E220,LISTAS!$A$2:$C$65,2,FALSE),"Revisar"))</f>
        <v/>
      </c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2">
        <f>IF(COUNTA(B220:B220)+COUNTA(D220:E220)+COUNTA(G220:AJ220)=0,"",IF(COUNTBLANK(B220:B220)+COUNTBLANK(D220:E220)+COUNTBLANK(G220:G220)+COUNTBLANK(O220:AJ220)&gt;0,"Faltan "&amp;(COUNTBLANK(B220:B220)+COUNTBLANK(D220:E220)+COUNTBLANK(G220:G220)+COUNTBLANK(O220:AJ220))&amp;" datos obligatorios",IF(NOT(ISNUMBER(B220)),"Fecha no válida",IF(N(B220)&gt;TODAY(),"Fecha futura",IF(IFERROR(VLOOKUP(E220,LISTAS!$A$2:$C$65,3,FALSE),"")&lt;&gt;D220,"La subregión no corresponde al municipio",IF(IF(L220="",FALSE,OR(L220&lt;0,L220&gt;110)),"Edad fuera de rango",IF((V220="Sí")+(W220="Sí")+(X220="Sí")+(Y220="Sí")=0,"Marque al menos un tipo de violencia","OK")))))))</f>
        <v/>
      </c>
    </row>
    <row r="221">
      <c r="A221" s="12">
        <f>IF(OR(F221="",F221="Revisar",C221=""),"",F221&amp;"-"&amp;C221&amp;"-"&amp;TEXT(COUNTIFS($F$2:F221,F221,$C$2:C221,C221),"0000"))</f>
        <v/>
      </c>
      <c r="B221" s="13" t="n"/>
      <c r="C221" s="12">
        <f>IF(ISNUMBER(B221),YEAR(B221),"")</f>
        <v/>
      </c>
      <c r="D221" s="14" t="n"/>
      <c r="E221" s="14" t="n"/>
      <c r="F221" s="12">
        <f>IF(E221="","",IFERROR(VLOOKUP(E221,LISTAS!$A$2:$C$65,2,FALSE),"Revisar"))</f>
        <v/>
      </c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2">
        <f>IF(COUNTA(B221:B221)+COUNTA(D221:E221)+COUNTA(G221:AJ221)=0,"",IF(COUNTBLANK(B221:B221)+COUNTBLANK(D221:E221)+COUNTBLANK(G221:G221)+COUNTBLANK(O221:AJ221)&gt;0,"Faltan "&amp;(COUNTBLANK(B221:B221)+COUNTBLANK(D221:E221)+COUNTBLANK(G221:G221)+COUNTBLANK(O221:AJ221))&amp;" datos obligatorios",IF(NOT(ISNUMBER(B221)),"Fecha no válida",IF(N(B221)&gt;TODAY(),"Fecha futura",IF(IFERROR(VLOOKUP(E221,LISTAS!$A$2:$C$65,3,FALSE),"")&lt;&gt;D221,"La subregión no corresponde al municipio",IF(IF(L221="",FALSE,OR(L221&lt;0,L221&gt;110)),"Edad fuera de rango",IF((V221="Sí")+(W221="Sí")+(X221="Sí")+(Y221="Sí")=0,"Marque al menos un tipo de violencia","OK")))))))</f>
        <v/>
      </c>
    </row>
    <row r="222">
      <c r="A222" s="12">
        <f>IF(OR(F222="",F222="Revisar",C222=""),"",F222&amp;"-"&amp;C222&amp;"-"&amp;TEXT(COUNTIFS($F$2:F222,F222,$C$2:C222,C222),"0000"))</f>
        <v/>
      </c>
      <c r="B222" s="13" t="n"/>
      <c r="C222" s="12">
        <f>IF(ISNUMBER(B222),YEAR(B222),"")</f>
        <v/>
      </c>
      <c r="D222" s="14" t="n"/>
      <c r="E222" s="14" t="n"/>
      <c r="F222" s="12">
        <f>IF(E222="","",IFERROR(VLOOKUP(E222,LISTAS!$A$2:$C$65,2,FALSE),"Revisar"))</f>
        <v/>
      </c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2">
        <f>IF(COUNTA(B222:B222)+COUNTA(D222:E222)+COUNTA(G222:AJ222)=0,"",IF(COUNTBLANK(B222:B222)+COUNTBLANK(D222:E222)+COUNTBLANK(G222:G222)+COUNTBLANK(O222:AJ222)&gt;0,"Faltan "&amp;(COUNTBLANK(B222:B222)+COUNTBLANK(D222:E222)+COUNTBLANK(G222:G222)+COUNTBLANK(O222:AJ222))&amp;" datos obligatorios",IF(NOT(ISNUMBER(B222)),"Fecha no válida",IF(N(B222)&gt;TODAY(),"Fecha futura",IF(IFERROR(VLOOKUP(E222,LISTAS!$A$2:$C$65,3,FALSE),"")&lt;&gt;D222,"La subregión no corresponde al municipio",IF(IF(L222="",FALSE,OR(L222&lt;0,L222&gt;110)),"Edad fuera de rango",IF((V222="Sí")+(W222="Sí")+(X222="Sí")+(Y222="Sí")=0,"Marque al menos un tipo de violencia","OK")))))))</f>
        <v/>
      </c>
    </row>
    <row r="223">
      <c r="A223" s="12">
        <f>IF(OR(F223="",F223="Revisar",C223=""),"",F223&amp;"-"&amp;C223&amp;"-"&amp;TEXT(COUNTIFS($F$2:F223,F223,$C$2:C223,C223),"0000"))</f>
        <v/>
      </c>
      <c r="B223" s="13" t="n"/>
      <c r="C223" s="12">
        <f>IF(ISNUMBER(B223),YEAR(B223),"")</f>
        <v/>
      </c>
      <c r="D223" s="14" t="n"/>
      <c r="E223" s="14" t="n"/>
      <c r="F223" s="12">
        <f>IF(E223="","",IFERROR(VLOOKUP(E223,LISTAS!$A$2:$C$65,2,FALSE),"Revisar"))</f>
        <v/>
      </c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2">
        <f>IF(COUNTA(B223:B223)+COUNTA(D223:E223)+COUNTA(G223:AJ223)=0,"",IF(COUNTBLANK(B223:B223)+COUNTBLANK(D223:E223)+COUNTBLANK(G223:G223)+COUNTBLANK(O223:AJ223)&gt;0,"Faltan "&amp;(COUNTBLANK(B223:B223)+COUNTBLANK(D223:E223)+COUNTBLANK(G223:G223)+COUNTBLANK(O223:AJ223))&amp;" datos obligatorios",IF(NOT(ISNUMBER(B223)),"Fecha no válida",IF(N(B223)&gt;TODAY(),"Fecha futura",IF(IFERROR(VLOOKUP(E223,LISTAS!$A$2:$C$65,3,FALSE),"")&lt;&gt;D223,"La subregión no corresponde al municipio",IF(IF(L223="",FALSE,OR(L223&lt;0,L223&gt;110)),"Edad fuera de rango",IF((V223="Sí")+(W223="Sí")+(X223="Sí")+(Y223="Sí")=0,"Marque al menos un tipo de violencia","OK")))))))</f>
        <v/>
      </c>
    </row>
    <row r="224">
      <c r="A224" s="12">
        <f>IF(OR(F224="",F224="Revisar",C224=""),"",F224&amp;"-"&amp;C224&amp;"-"&amp;TEXT(COUNTIFS($F$2:F224,F224,$C$2:C224,C224),"0000"))</f>
        <v/>
      </c>
      <c r="B224" s="13" t="n"/>
      <c r="C224" s="12">
        <f>IF(ISNUMBER(B224),YEAR(B224),"")</f>
        <v/>
      </c>
      <c r="D224" s="14" t="n"/>
      <c r="E224" s="14" t="n"/>
      <c r="F224" s="12">
        <f>IF(E224="","",IFERROR(VLOOKUP(E224,LISTAS!$A$2:$C$65,2,FALSE),"Revisar"))</f>
        <v/>
      </c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2">
        <f>IF(COUNTA(B224:B224)+COUNTA(D224:E224)+COUNTA(G224:AJ224)=0,"",IF(COUNTBLANK(B224:B224)+COUNTBLANK(D224:E224)+COUNTBLANK(G224:G224)+COUNTBLANK(O224:AJ224)&gt;0,"Faltan "&amp;(COUNTBLANK(B224:B224)+COUNTBLANK(D224:E224)+COUNTBLANK(G224:G224)+COUNTBLANK(O224:AJ224))&amp;" datos obligatorios",IF(NOT(ISNUMBER(B224)),"Fecha no válida",IF(N(B224)&gt;TODAY(),"Fecha futura",IF(IFERROR(VLOOKUP(E224,LISTAS!$A$2:$C$65,3,FALSE),"")&lt;&gt;D224,"La subregión no corresponde al municipio",IF(IF(L224="",FALSE,OR(L224&lt;0,L224&gt;110)),"Edad fuera de rango",IF((V224="Sí")+(W224="Sí")+(X224="Sí")+(Y224="Sí")=0,"Marque al menos un tipo de violencia","OK")))))))</f>
        <v/>
      </c>
    </row>
    <row r="225">
      <c r="A225" s="12">
        <f>IF(OR(F225="",F225="Revisar",C225=""),"",F225&amp;"-"&amp;C225&amp;"-"&amp;TEXT(COUNTIFS($F$2:F225,F225,$C$2:C225,C225),"0000"))</f>
        <v/>
      </c>
      <c r="B225" s="13" t="n"/>
      <c r="C225" s="12">
        <f>IF(ISNUMBER(B225),YEAR(B225),"")</f>
        <v/>
      </c>
      <c r="D225" s="14" t="n"/>
      <c r="E225" s="14" t="n"/>
      <c r="F225" s="12">
        <f>IF(E225="","",IFERROR(VLOOKUP(E225,LISTAS!$A$2:$C$65,2,FALSE),"Revisar"))</f>
        <v/>
      </c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2">
        <f>IF(COUNTA(B225:B225)+COUNTA(D225:E225)+COUNTA(G225:AJ225)=0,"",IF(COUNTBLANK(B225:B225)+COUNTBLANK(D225:E225)+COUNTBLANK(G225:G225)+COUNTBLANK(O225:AJ225)&gt;0,"Faltan "&amp;(COUNTBLANK(B225:B225)+COUNTBLANK(D225:E225)+COUNTBLANK(G225:G225)+COUNTBLANK(O225:AJ225))&amp;" datos obligatorios",IF(NOT(ISNUMBER(B225)),"Fecha no válida",IF(N(B225)&gt;TODAY(),"Fecha futura",IF(IFERROR(VLOOKUP(E225,LISTAS!$A$2:$C$65,3,FALSE),"")&lt;&gt;D225,"La subregión no corresponde al municipio",IF(IF(L225="",FALSE,OR(L225&lt;0,L225&gt;110)),"Edad fuera de rango",IF((V225="Sí")+(W225="Sí")+(X225="Sí")+(Y225="Sí")=0,"Marque al menos un tipo de violencia","OK")))))))</f>
        <v/>
      </c>
    </row>
    <row r="226">
      <c r="A226" s="12">
        <f>IF(OR(F226="",F226="Revisar",C226=""),"",F226&amp;"-"&amp;C226&amp;"-"&amp;TEXT(COUNTIFS($F$2:F226,F226,$C$2:C226,C226),"0000"))</f>
        <v/>
      </c>
      <c r="B226" s="13" t="n"/>
      <c r="C226" s="12">
        <f>IF(ISNUMBER(B226),YEAR(B226),"")</f>
        <v/>
      </c>
      <c r="D226" s="14" t="n"/>
      <c r="E226" s="14" t="n"/>
      <c r="F226" s="12">
        <f>IF(E226="","",IFERROR(VLOOKUP(E226,LISTAS!$A$2:$C$65,2,FALSE),"Revisar"))</f>
        <v/>
      </c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2">
        <f>IF(COUNTA(B226:B226)+COUNTA(D226:E226)+COUNTA(G226:AJ226)=0,"",IF(COUNTBLANK(B226:B226)+COUNTBLANK(D226:E226)+COUNTBLANK(G226:G226)+COUNTBLANK(O226:AJ226)&gt;0,"Faltan "&amp;(COUNTBLANK(B226:B226)+COUNTBLANK(D226:E226)+COUNTBLANK(G226:G226)+COUNTBLANK(O226:AJ226))&amp;" datos obligatorios",IF(NOT(ISNUMBER(B226)),"Fecha no válida",IF(N(B226)&gt;TODAY(),"Fecha futura",IF(IFERROR(VLOOKUP(E226,LISTAS!$A$2:$C$65,3,FALSE),"")&lt;&gt;D226,"La subregión no corresponde al municipio",IF(IF(L226="",FALSE,OR(L226&lt;0,L226&gt;110)),"Edad fuera de rango",IF((V226="Sí")+(W226="Sí")+(X226="Sí")+(Y226="Sí")=0,"Marque al menos un tipo de violencia","OK")))))))</f>
        <v/>
      </c>
    </row>
    <row r="227">
      <c r="A227" s="12">
        <f>IF(OR(F227="",F227="Revisar",C227=""),"",F227&amp;"-"&amp;C227&amp;"-"&amp;TEXT(COUNTIFS($F$2:F227,F227,$C$2:C227,C227),"0000"))</f>
        <v/>
      </c>
      <c r="B227" s="13" t="n"/>
      <c r="C227" s="12">
        <f>IF(ISNUMBER(B227),YEAR(B227),"")</f>
        <v/>
      </c>
      <c r="D227" s="14" t="n"/>
      <c r="E227" s="14" t="n"/>
      <c r="F227" s="12">
        <f>IF(E227="","",IFERROR(VLOOKUP(E227,LISTAS!$A$2:$C$65,2,FALSE),"Revisar"))</f>
        <v/>
      </c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2">
        <f>IF(COUNTA(B227:B227)+COUNTA(D227:E227)+COUNTA(G227:AJ227)=0,"",IF(COUNTBLANK(B227:B227)+COUNTBLANK(D227:E227)+COUNTBLANK(G227:G227)+COUNTBLANK(O227:AJ227)&gt;0,"Faltan "&amp;(COUNTBLANK(B227:B227)+COUNTBLANK(D227:E227)+COUNTBLANK(G227:G227)+COUNTBLANK(O227:AJ227))&amp;" datos obligatorios",IF(NOT(ISNUMBER(B227)),"Fecha no válida",IF(N(B227)&gt;TODAY(),"Fecha futura",IF(IFERROR(VLOOKUP(E227,LISTAS!$A$2:$C$65,3,FALSE),"")&lt;&gt;D227,"La subregión no corresponde al municipio",IF(IF(L227="",FALSE,OR(L227&lt;0,L227&gt;110)),"Edad fuera de rango",IF((V227="Sí")+(W227="Sí")+(X227="Sí")+(Y227="Sí")=0,"Marque al menos un tipo de violencia","OK")))))))</f>
        <v/>
      </c>
    </row>
    <row r="228">
      <c r="A228" s="12">
        <f>IF(OR(F228="",F228="Revisar",C228=""),"",F228&amp;"-"&amp;C228&amp;"-"&amp;TEXT(COUNTIFS($F$2:F228,F228,$C$2:C228,C228),"0000"))</f>
        <v/>
      </c>
      <c r="B228" s="13" t="n"/>
      <c r="C228" s="12">
        <f>IF(ISNUMBER(B228),YEAR(B228),"")</f>
        <v/>
      </c>
      <c r="D228" s="14" t="n"/>
      <c r="E228" s="14" t="n"/>
      <c r="F228" s="12">
        <f>IF(E228="","",IFERROR(VLOOKUP(E228,LISTAS!$A$2:$C$65,2,FALSE),"Revisar"))</f>
        <v/>
      </c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2">
        <f>IF(COUNTA(B228:B228)+COUNTA(D228:E228)+COUNTA(G228:AJ228)=0,"",IF(COUNTBLANK(B228:B228)+COUNTBLANK(D228:E228)+COUNTBLANK(G228:G228)+COUNTBLANK(O228:AJ228)&gt;0,"Faltan "&amp;(COUNTBLANK(B228:B228)+COUNTBLANK(D228:E228)+COUNTBLANK(G228:G228)+COUNTBLANK(O228:AJ228))&amp;" datos obligatorios",IF(NOT(ISNUMBER(B228)),"Fecha no válida",IF(N(B228)&gt;TODAY(),"Fecha futura",IF(IFERROR(VLOOKUP(E228,LISTAS!$A$2:$C$65,3,FALSE),"")&lt;&gt;D228,"La subregión no corresponde al municipio",IF(IF(L228="",FALSE,OR(L228&lt;0,L228&gt;110)),"Edad fuera de rango",IF((V228="Sí")+(W228="Sí")+(X228="Sí")+(Y228="Sí")=0,"Marque al menos un tipo de violencia","OK")))))))</f>
        <v/>
      </c>
    </row>
    <row r="229">
      <c r="A229" s="12">
        <f>IF(OR(F229="",F229="Revisar",C229=""),"",F229&amp;"-"&amp;C229&amp;"-"&amp;TEXT(COUNTIFS($F$2:F229,F229,$C$2:C229,C229),"0000"))</f>
        <v/>
      </c>
      <c r="B229" s="13" t="n"/>
      <c r="C229" s="12">
        <f>IF(ISNUMBER(B229),YEAR(B229),"")</f>
        <v/>
      </c>
      <c r="D229" s="14" t="n"/>
      <c r="E229" s="14" t="n"/>
      <c r="F229" s="12">
        <f>IF(E229="","",IFERROR(VLOOKUP(E229,LISTAS!$A$2:$C$65,2,FALSE),"Revisar"))</f>
        <v/>
      </c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2">
        <f>IF(COUNTA(B229:B229)+COUNTA(D229:E229)+COUNTA(G229:AJ229)=0,"",IF(COUNTBLANK(B229:B229)+COUNTBLANK(D229:E229)+COUNTBLANK(G229:G229)+COUNTBLANK(O229:AJ229)&gt;0,"Faltan "&amp;(COUNTBLANK(B229:B229)+COUNTBLANK(D229:E229)+COUNTBLANK(G229:G229)+COUNTBLANK(O229:AJ229))&amp;" datos obligatorios",IF(NOT(ISNUMBER(B229)),"Fecha no válida",IF(N(B229)&gt;TODAY(),"Fecha futura",IF(IFERROR(VLOOKUP(E229,LISTAS!$A$2:$C$65,3,FALSE),"")&lt;&gt;D229,"La subregión no corresponde al municipio",IF(IF(L229="",FALSE,OR(L229&lt;0,L229&gt;110)),"Edad fuera de rango",IF((V229="Sí")+(W229="Sí")+(X229="Sí")+(Y229="Sí")=0,"Marque al menos un tipo de violencia","OK")))))))</f>
        <v/>
      </c>
    </row>
    <row r="230">
      <c r="A230" s="12">
        <f>IF(OR(F230="",F230="Revisar",C230=""),"",F230&amp;"-"&amp;C230&amp;"-"&amp;TEXT(COUNTIFS($F$2:F230,F230,$C$2:C230,C230),"0000"))</f>
        <v/>
      </c>
      <c r="B230" s="13" t="n"/>
      <c r="C230" s="12">
        <f>IF(ISNUMBER(B230),YEAR(B230),"")</f>
        <v/>
      </c>
      <c r="D230" s="14" t="n"/>
      <c r="E230" s="14" t="n"/>
      <c r="F230" s="12">
        <f>IF(E230="","",IFERROR(VLOOKUP(E230,LISTAS!$A$2:$C$65,2,FALSE),"Revisar"))</f>
        <v/>
      </c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2">
        <f>IF(COUNTA(B230:B230)+COUNTA(D230:E230)+COUNTA(G230:AJ230)=0,"",IF(COUNTBLANK(B230:B230)+COUNTBLANK(D230:E230)+COUNTBLANK(G230:G230)+COUNTBLANK(O230:AJ230)&gt;0,"Faltan "&amp;(COUNTBLANK(B230:B230)+COUNTBLANK(D230:E230)+COUNTBLANK(G230:G230)+COUNTBLANK(O230:AJ230))&amp;" datos obligatorios",IF(NOT(ISNUMBER(B230)),"Fecha no válida",IF(N(B230)&gt;TODAY(),"Fecha futura",IF(IFERROR(VLOOKUP(E230,LISTAS!$A$2:$C$65,3,FALSE),"")&lt;&gt;D230,"La subregión no corresponde al municipio",IF(IF(L230="",FALSE,OR(L230&lt;0,L230&gt;110)),"Edad fuera de rango",IF((V230="Sí")+(W230="Sí")+(X230="Sí")+(Y230="Sí")=0,"Marque al menos un tipo de violencia","OK")))))))</f>
        <v/>
      </c>
    </row>
    <row r="231">
      <c r="A231" s="12">
        <f>IF(OR(F231="",F231="Revisar",C231=""),"",F231&amp;"-"&amp;C231&amp;"-"&amp;TEXT(COUNTIFS($F$2:F231,F231,$C$2:C231,C231),"0000"))</f>
        <v/>
      </c>
      <c r="B231" s="13" t="n"/>
      <c r="C231" s="12">
        <f>IF(ISNUMBER(B231),YEAR(B231),"")</f>
        <v/>
      </c>
      <c r="D231" s="14" t="n"/>
      <c r="E231" s="14" t="n"/>
      <c r="F231" s="12">
        <f>IF(E231="","",IFERROR(VLOOKUP(E231,LISTAS!$A$2:$C$65,2,FALSE),"Revisar"))</f>
        <v/>
      </c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2">
        <f>IF(COUNTA(B231:B231)+COUNTA(D231:E231)+COUNTA(G231:AJ231)=0,"",IF(COUNTBLANK(B231:B231)+COUNTBLANK(D231:E231)+COUNTBLANK(G231:G231)+COUNTBLANK(O231:AJ231)&gt;0,"Faltan "&amp;(COUNTBLANK(B231:B231)+COUNTBLANK(D231:E231)+COUNTBLANK(G231:G231)+COUNTBLANK(O231:AJ231))&amp;" datos obligatorios",IF(NOT(ISNUMBER(B231)),"Fecha no válida",IF(N(B231)&gt;TODAY(),"Fecha futura",IF(IFERROR(VLOOKUP(E231,LISTAS!$A$2:$C$65,3,FALSE),"")&lt;&gt;D231,"La subregión no corresponde al municipio",IF(IF(L231="",FALSE,OR(L231&lt;0,L231&gt;110)),"Edad fuera de rango",IF((V231="Sí")+(W231="Sí")+(X231="Sí")+(Y231="Sí")=0,"Marque al menos un tipo de violencia","OK")))))))</f>
        <v/>
      </c>
    </row>
    <row r="232">
      <c r="A232" s="12">
        <f>IF(OR(F232="",F232="Revisar",C232=""),"",F232&amp;"-"&amp;C232&amp;"-"&amp;TEXT(COUNTIFS($F$2:F232,F232,$C$2:C232,C232),"0000"))</f>
        <v/>
      </c>
      <c r="B232" s="13" t="n"/>
      <c r="C232" s="12">
        <f>IF(ISNUMBER(B232),YEAR(B232),"")</f>
        <v/>
      </c>
      <c r="D232" s="14" t="n"/>
      <c r="E232" s="14" t="n"/>
      <c r="F232" s="12">
        <f>IF(E232="","",IFERROR(VLOOKUP(E232,LISTAS!$A$2:$C$65,2,FALSE),"Revisar"))</f>
        <v/>
      </c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2">
        <f>IF(COUNTA(B232:B232)+COUNTA(D232:E232)+COUNTA(G232:AJ232)=0,"",IF(COUNTBLANK(B232:B232)+COUNTBLANK(D232:E232)+COUNTBLANK(G232:G232)+COUNTBLANK(O232:AJ232)&gt;0,"Faltan "&amp;(COUNTBLANK(B232:B232)+COUNTBLANK(D232:E232)+COUNTBLANK(G232:G232)+COUNTBLANK(O232:AJ232))&amp;" datos obligatorios",IF(NOT(ISNUMBER(B232)),"Fecha no válida",IF(N(B232)&gt;TODAY(),"Fecha futura",IF(IFERROR(VLOOKUP(E232,LISTAS!$A$2:$C$65,3,FALSE),"")&lt;&gt;D232,"La subregión no corresponde al municipio",IF(IF(L232="",FALSE,OR(L232&lt;0,L232&gt;110)),"Edad fuera de rango",IF((V232="Sí")+(W232="Sí")+(X232="Sí")+(Y232="Sí")=0,"Marque al menos un tipo de violencia","OK")))))))</f>
        <v/>
      </c>
    </row>
    <row r="233">
      <c r="A233" s="12">
        <f>IF(OR(F233="",F233="Revisar",C233=""),"",F233&amp;"-"&amp;C233&amp;"-"&amp;TEXT(COUNTIFS($F$2:F233,F233,$C$2:C233,C233),"0000"))</f>
        <v/>
      </c>
      <c r="B233" s="13" t="n"/>
      <c r="C233" s="12">
        <f>IF(ISNUMBER(B233),YEAR(B233),"")</f>
        <v/>
      </c>
      <c r="D233" s="14" t="n"/>
      <c r="E233" s="14" t="n"/>
      <c r="F233" s="12">
        <f>IF(E233="","",IFERROR(VLOOKUP(E233,LISTAS!$A$2:$C$65,2,FALSE),"Revisar"))</f>
        <v/>
      </c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2">
        <f>IF(COUNTA(B233:B233)+COUNTA(D233:E233)+COUNTA(G233:AJ233)=0,"",IF(COUNTBLANK(B233:B233)+COUNTBLANK(D233:E233)+COUNTBLANK(G233:G233)+COUNTBLANK(O233:AJ233)&gt;0,"Faltan "&amp;(COUNTBLANK(B233:B233)+COUNTBLANK(D233:E233)+COUNTBLANK(G233:G233)+COUNTBLANK(O233:AJ233))&amp;" datos obligatorios",IF(NOT(ISNUMBER(B233)),"Fecha no válida",IF(N(B233)&gt;TODAY(),"Fecha futura",IF(IFERROR(VLOOKUP(E233,LISTAS!$A$2:$C$65,3,FALSE),"")&lt;&gt;D233,"La subregión no corresponde al municipio",IF(IF(L233="",FALSE,OR(L233&lt;0,L233&gt;110)),"Edad fuera de rango",IF((V233="Sí")+(W233="Sí")+(X233="Sí")+(Y233="Sí")=0,"Marque al menos un tipo de violencia","OK")))))))</f>
        <v/>
      </c>
    </row>
    <row r="234">
      <c r="A234" s="12">
        <f>IF(OR(F234="",F234="Revisar",C234=""),"",F234&amp;"-"&amp;C234&amp;"-"&amp;TEXT(COUNTIFS($F$2:F234,F234,$C$2:C234,C234),"0000"))</f>
        <v/>
      </c>
      <c r="B234" s="13" t="n"/>
      <c r="C234" s="12">
        <f>IF(ISNUMBER(B234),YEAR(B234),"")</f>
        <v/>
      </c>
      <c r="D234" s="14" t="n"/>
      <c r="E234" s="14" t="n"/>
      <c r="F234" s="12">
        <f>IF(E234="","",IFERROR(VLOOKUP(E234,LISTAS!$A$2:$C$65,2,FALSE),"Revisar"))</f>
        <v/>
      </c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2">
        <f>IF(COUNTA(B234:B234)+COUNTA(D234:E234)+COUNTA(G234:AJ234)=0,"",IF(COUNTBLANK(B234:B234)+COUNTBLANK(D234:E234)+COUNTBLANK(G234:G234)+COUNTBLANK(O234:AJ234)&gt;0,"Faltan "&amp;(COUNTBLANK(B234:B234)+COUNTBLANK(D234:E234)+COUNTBLANK(G234:G234)+COUNTBLANK(O234:AJ234))&amp;" datos obligatorios",IF(NOT(ISNUMBER(B234)),"Fecha no válida",IF(N(B234)&gt;TODAY(),"Fecha futura",IF(IFERROR(VLOOKUP(E234,LISTAS!$A$2:$C$65,3,FALSE),"")&lt;&gt;D234,"La subregión no corresponde al municipio",IF(IF(L234="",FALSE,OR(L234&lt;0,L234&gt;110)),"Edad fuera de rango",IF((V234="Sí")+(W234="Sí")+(X234="Sí")+(Y234="Sí")=0,"Marque al menos un tipo de violencia","OK")))))))</f>
        <v/>
      </c>
    </row>
    <row r="235">
      <c r="A235" s="12">
        <f>IF(OR(F235="",F235="Revisar",C235=""),"",F235&amp;"-"&amp;C235&amp;"-"&amp;TEXT(COUNTIFS($F$2:F235,F235,$C$2:C235,C235),"0000"))</f>
        <v/>
      </c>
      <c r="B235" s="13" t="n"/>
      <c r="C235" s="12">
        <f>IF(ISNUMBER(B235),YEAR(B235),"")</f>
        <v/>
      </c>
      <c r="D235" s="14" t="n"/>
      <c r="E235" s="14" t="n"/>
      <c r="F235" s="12">
        <f>IF(E235="","",IFERROR(VLOOKUP(E235,LISTAS!$A$2:$C$65,2,FALSE),"Revisar"))</f>
        <v/>
      </c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2">
        <f>IF(COUNTA(B235:B235)+COUNTA(D235:E235)+COUNTA(G235:AJ235)=0,"",IF(COUNTBLANK(B235:B235)+COUNTBLANK(D235:E235)+COUNTBLANK(G235:G235)+COUNTBLANK(O235:AJ235)&gt;0,"Faltan "&amp;(COUNTBLANK(B235:B235)+COUNTBLANK(D235:E235)+COUNTBLANK(G235:G235)+COUNTBLANK(O235:AJ235))&amp;" datos obligatorios",IF(NOT(ISNUMBER(B235)),"Fecha no válida",IF(N(B235)&gt;TODAY(),"Fecha futura",IF(IFERROR(VLOOKUP(E235,LISTAS!$A$2:$C$65,3,FALSE),"")&lt;&gt;D235,"La subregión no corresponde al municipio",IF(IF(L235="",FALSE,OR(L235&lt;0,L235&gt;110)),"Edad fuera de rango",IF((V235="Sí")+(W235="Sí")+(X235="Sí")+(Y235="Sí")=0,"Marque al menos un tipo de violencia","OK")))))))</f>
        <v/>
      </c>
    </row>
    <row r="236">
      <c r="A236" s="12">
        <f>IF(OR(F236="",F236="Revisar",C236=""),"",F236&amp;"-"&amp;C236&amp;"-"&amp;TEXT(COUNTIFS($F$2:F236,F236,$C$2:C236,C236),"0000"))</f>
        <v/>
      </c>
      <c r="B236" s="13" t="n"/>
      <c r="C236" s="12">
        <f>IF(ISNUMBER(B236),YEAR(B236),"")</f>
        <v/>
      </c>
      <c r="D236" s="14" t="n"/>
      <c r="E236" s="14" t="n"/>
      <c r="F236" s="12">
        <f>IF(E236="","",IFERROR(VLOOKUP(E236,LISTAS!$A$2:$C$65,2,FALSE),"Revisar"))</f>
        <v/>
      </c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2">
        <f>IF(COUNTA(B236:B236)+COUNTA(D236:E236)+COUNTA(G236:AJ236)=0,"",IF(COUNTBLANK(B236:B236)+COUNTBLANK(D236:E236)+COUNTBLANK(G236:G236)+COUNTBLANK(O236:AJ236)&gt;0,"Faltan "&amp;(COUNTBLANK(B236:B236)+COUNTBLANK(D236:E236)+COUNTBLANK(G236:G236)+COUNTBLANK(O236:AJ236))&amp;" datos obligatorios",IF(NOT(ISNUMBER(B236)),"Fecha no válida",IF(N(B236)&gt;TODAY(),"Fecha futura",IF(IFERROR(VLOOKUP(E236,LISTAS!$A$2:$C$65,3,FALSE),"")&lt;&gt;D236,"La subregión no corresponde al municipio",IF(IF(L236="",FALSE,OR(L236&lt;0,L236&gt;110)),"Edad fuera de rango",IF((V236="Sí")+(W236="Sí")+(X236="Sí")+(Y236="Sí")=0,"Marque al menos un tipo de violencia","OK")))))))</f>
        <v/>
      </c>
    </row>
    <row r="237">
      <c r="A237" s="12">
        <f>IF(OR(F237="",F237="Revisar",C237=""),"",F237&amp;"-"&amp;C237&amp;"-"&amp;TEXT(COUNTIFS($F$2:F237,F237,$C$2:C237,C237),"0000"))</f>
        <v/>
      </c>
      <c r="B237" s="13" t="n"/>
      <c r="C237" s="12">
        <f>IF(ISNUMBER(B237),YEAR(B237),"")</f>
        <v/>
      </c>
      <c r="D237" s="14" t="n"/>
      <c r="E237" s="14" t="n"/>
      <c r="F237" s="12">
        <f>IF(E237="","",IFERROR(VLOOKUP(E237,LISTAS!$A$2:$C$65,2,FALSE),"Revisar"))</f>
        <v/>
      </c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2">
        <f>IF(COUNTA(B237:B237)+COUNTA(D237:E237)+COUNTA(G237:AJ237)=0,"",IF(COUNTBLANK(B237:B237)+COUNTBLANK(D237:E237)+COUNTBLANK(G237:G237)+COUNTBLANK(O237:AJ237)&gt;0,"Faltan "&amp;(COUNTBLANK(B237:B237)+COUNTBLANK(D237:E237)+COUNTBLANK(G237:G237)+COUNTBLANK(O237:AJ237))&amp;" datos obligatorios",IF(NOT(ISNUMBER(B237)),"Fecha no válida",IF(N(B237)&gt;TODAY(),"Fecha futura",IF(IFERROR(VLOOKUP(E237,LISTAS!$A$2:$C$65,3,FALSE),"")&lt;&gt;D237,"La subregión no corresponde al municipio",IF(IF(L237="",FALSE,OR(L237&lt;0,L237&gt;110)),"Edad fuera de rango",IF((V237="Sí")+(W237="Sí")+(X237="Sí")+(Y237="Sí")=0,"Marque al menos un tipo de violencia","OK")))))))</f>
        <v/>
      </c>
    </row>
    <row r="238">
      <c r="A238" s="12">
        <f>IF(OR(F238="",F238="Revisar",C238=""),"",F238&amp;"-"&amp;C238&amp;"-"&amp;TEXT(COUNTIFS($F$2:F238,F238,$C$2:C238,C238),"0000"))</f>
        <v/>
      </c>
      <c r="B238" s="13" t="n"/>
      <c r="C238" s="12">
        <f>IF(ISNUMBER(B238),YEAR(B238),"")</f>
        <v/>
      </c>
      <c r="D238" s="14" t="n"/>
      <c r="E238" s="14" t="n"/>
      <c r="F238" s="12">
        <f>IF(E238="","",IFERROR(VLOOKUP(E238,LISTAS!$A$2:$C$65,2,FALSE),"Revisar"))</f>
        <v/>
      </c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2">
        <f>IF(COUNTA(B238:B238)+COUNTA(D238:E238)+COUNTA(G238:AJ238)=0,"",IF(COUNTBLANK(B238:B238)+COUNTBLANK(D238:E238)+COUNTBLANK(G238:G238)+COUNTBLANK(O238:AJ238)&gt;0,"Faltan "&amp;(COUNTBLANK(B238:B238)+COUNTBLANK(D238:E238)+COUNTBLANK(G238:G238)+COUNTBLANK(O238:AJ238))&amp;" datos obligatorios",IF(NOT(ISNUMBER(B238)),"Fecha no válida",IF(N(B238)&gt;TODAY(),"Fecha futura",IF(IFERROR(VLOOKUP(E238,LISTAS!$A$2:$C$65,3,FALSE),"")&lt;&gt;D238,"La subregión no corresponde al municipio",IF(IF(L238="",FALSE,OR(L238&lt;0,L238&gt;110)),"Edad fuera de rango",IF((V238="Sí")+(W238="Sí")+(X238="Sí")+(Y238="Sí")=0,"Marque al menos un tipo de violencia","OK")))))))</f>
        <v/>
      </c>
    </row>
    <row r="239">
      <c r="A239" s="12">
        <f>IF(OR(F239="",F239="Revisar",C239=""),"",F239&amp;"-"&amp;C239&amp;"-"&amp;TEXT(COUNTIFS($F$2:F239,F239,$C$2:C239,C239),"0000"))</f>
        <v/>
      </c>
      <c r="B239" s="13" t="n"/>
      <c r="C239" s="12">
        <f>IF(ISNUMBER(B239),YEAR(B239),"")</f>
        <v/>
      </c>
      <c r="D239" s="14" t="n"/>
      <c r="E239" s="14" t="n"/>
      <c r="F239" s="12">
        <f>IF(E239="","",IFERROR(VLOOKUP(E239,LISTAS!$A$2:$C$65,2,FALSE),"Revisar"))</f>
        <v/>
      </c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2">
        <f>IF(COUNTA(B239:B239)+COUNTA(D239:E239)+COUNTA(G239:AJ239)=0,"",IF(COUNTBLANK(B239:B239)+COUNTBLANK(D239:E239)+COUNTBLANK(G239:G239)+COUNTBLANK(O239:AJ239)&gt;0,"Faltan "&amp;(COUNTBLANK(B239:B239)+COUNTBLANK(D239:E239)+COUNTBLANK(G239:G239)+COUNTBLANK(O239:AJ239))&amp;" datos obligatorios",IF(NOT(ISNUMBER(B239)),"Fecha no válida",IF(N(B239)&gt;TODAY(),"Fecha futura",IF(IFERROR(VLOOKUP(E239,LISTAS!$A$2:$C$65,3,FALSE),"")&lt;&gt;D239,"La subregión no corresponde al municipio",IF(IF(L239="",FALSE,OR(L239&lt;0,L239&gt;110)),"Edad fuera de rango",IF((V239="Sí")+(W239="Sí")+(X239="Sí")+(Y239="Sí")=0,"Marque al menos un tipo de violencia","OK")))))))</f>
        <v/>
      </c>
    </row>
    <row r="240">
      <c r="A240" s="12">
        <f>IF(OR(F240="",F240="Revisar",C240=""),"",F240&amp;"-"&amp;C240&amp;"-"&amp;TEXT(COUNTIFS($F$2:F240,F240,$C$2:C240,C240),"0000"))</f>
        <v/>
      </c>
      <c r="B240" s="13" t="n"/>
      <c r="C240" s="12">
        <f>IF(ISNUMBER(B240),YEAR(B240),"")</f>
        <v/>
      </c>
      <c r="D240" s="14" t="n"/>
      <c r="E240" s="14" t="n"/>
      <c r="F240" s="12">
        <f>IF(E240="","",IFERROR(VLOOKUP(E240,LISTAS!$A$2:$C$65,2,FALSE),"Revisar"))</f>
        <v/>
      </c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2">
        <f>IF(COUNTA(B240:B240)+COUNTA(D240:E240)+COUNTA(G240:AJ240)=0,"",IF(COUNTBLANK(B240:B240)+COUNTBLANK(D240:E240)+COUNTBLANK(G240:G240)+COUNTBLANK(O240:AJ240)&gt;0,"Faltan "&amp;(COUNTBLANK(B240:B240)+COUNTBLANK(D240:E240)+COUNTBLANK(G240:G240)+COUNTBLANK(O240:AJ240))&amp;" datos obligatorios",IF(NOT(ISNUMBER(B240)),"Fecha no válida",IF(N(B240)&gt;TODAY(),"Fecha futura",IF(IFERROR(VLOOKUP(E240,LISTAS!$A$2:$C$65,3,FALSE),"")&lt;&gt;D240,"La subregión no corresponde al municipio",IF(IF(L240="",FALSE,OR(L240&lt;0,L240&gt;110)),"Edad fuera de rango",IF((V240="Sí")+(W240="Sí")+(X240="Sí")+(Y240="Sí")=0,"Marque al menos un tipo de violencia","OK")))))))</f>
        <v/>
      </c>
    </row>
    <row r="241">
      <c r="A241" s="12">
        <f>IF(OR(F241="",F241="Revisar",C241=""),"",F241&amp;"-"&amp;C241&amp;"-"&amp;TEXT(COUNTIFS($F$2:F241,F241,$C$2:C241,C241),"0000"))</f>
        <v/>
      </c>
      <c r="B241" s="13" t="n"/>
      <c r="C241" s="12">
        <f>IF(ISNUMBER(B241),YEAR(B241),"")</f>
        <v/>
      </c>
      <c r="D241" s="14" t="n"/>
      <c r="E241" s="14" t="n"/>
      <c r="F241" s="12">
        <f>IF(E241="","",IFERROR(VLOOKUP(E241,LISTAS!$A$2:$C$65,2,FALSE),"Revisar"))</f>
        <v/>
      </c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2">
        <f>IF(COUNTA(B241:B241)+COUNTA(D241:E241)+COUNTA(G241:AJ241)=0,"",IF(COUNTBLANK(B241:B241)+COUNTBLANK(D241:E241)+COUNTBLANK(G241:G241)+COUNTBLANK(O241:AJ241)&gt;0,"Faltan "&amp;(COUNTBLANK(B241:B241)+COUNTBLANK(D241:E241)+COUNTBLANK(G241:G241)+COUNTBLANK(O241:AJ241))&amp;" datos obligatorios",IF(NOT(ISNUMBER(B241)),"Fecha no válida",IF(N(B241)&gt;TODAY(),"Fecha futura",IF(IFERROR(VLOOKUP(E241,LISTAS!$A$2:$C$65,3,FALSE),"")&lt;&gt;D241,"La subregión no corresponde al municipio",IF(IF(L241="",FALSE,OR(L241&lt;0,L241&gt;110)),"Edad fuera de rango",IF((V241="Sí")+(W241="Sí")+(X241="Sí")+(Y241="Sí")=0,"Marque al menos un tipo de violencia","OK")))))))</f>
        <v/>
      </c>
    </row>
    <row r="242">
      <c r="A242" s="12">
        <f>IF(OR(F242="",F242="Revisar",C242=""),"",F242&amp;"-"&amp;C242&amp;"-"&amp;TEXT(COUNTIFS($F$2:F242,F242,$C$2:C242,C242),"0000"))</f>
        <v/>
      </c>
      <c r="B242" s="13" t="n"/>
      <c r="C242" s="12">
        <f>IF(ISNUMBER(B242),YEAR(B242),"")</f>
        <v/>
      </c>
      <c r="D242" s="14" t="n"/>
      <c r="E242" s="14" t="n"/>
      <c r="F242" s="12">
        <f>IF(E242="","",IFERROR(VLOOKUP(E242,LISTAS!$A$2:$C$65,2,FALSE),"Revisar"))</f>
        <v/>
      </c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2">
        <f>IF(COUNTA(B242:B242)+COUNTA(D242:E242)+COUNTA(G242:AJ242)=0,"",IF(COUNTBLANK(B242:B242)+COUNTBLANK(D242:E242)+COUNTBLANK(G242:G242)+COUNTBLANK(O242:AJ242)&gt;0,"Faltan "&amp;(COUNTBLANK(B242:B242)+COUNTBLANK(D242:E242)+COUNTBLANK(G242:G242)+COUNTBLANK(O242:AJ242))&amp;" datos obligatorios",IF(NOT(ISNUMBER(B242)),"Fecha no válida",IF(N(B242)&gt;TODAY(),"Fecha futura",IF(IFERROR(VLOOKUP(E242,LISTAS!$A$2:$C$65,3,FALSE),"")&lt;&gt;D242,"La subregión no corresponde al municipio",IF(IF(L242="",FALSE,OR(L242&lt;0,L242&gt;110)),"Edad fuera de rango",IF((V242="Sí")+(W242="Sí")+(X242="Sí")+(Y242="Sí")=0,"Marque al menos un tipo de violencia","OK")))))))</f>
        <v/>
      </c>
    </row>
    <row r="243">
      <c r="A243" s="12">
        <f>IF(OR(F243="",F243="Revisar",C243=""),"",F243&amp;"-"&amp;C243&amp;"-"&amp;TEXT(COUNTIFS($F$2:F243,F243,$C$2:C243,C243),"0000"))</f>
        <v/>
      </c>
      <c r="B243" s="13" t="n"/>
      <c r="C243" s="12">
        <f>IF(ISNUMBER(B243),YEAR(B243),"")</f>
        <v/>
      </c>
      <c r="D243" s="14" t="n"/>
      <c r="E243" s="14" t="n"/>
      <c r="F243" s="12">
        <f>IF(E243="","",IFERROR(VLOOKUP(E243,LISTAS!$A$2:$C$65,2,FALSE),"Revisar"))</f>
        <v/>
      </c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2">
        <f>IF(COUNTA(B243:B243)+COUNTA(D243:E243)+COUNTA(G243:AJ243)=0,"",IF(COUNTBLANK(B243:B243)+COUNTBLANK(D243:E243)+COUNTBLANK(G243:G243)+COUNTBLANK(O243:AJ243)&gt;0,"Faltan "&amp;(COUNTBLANK(B243:B243)+COUNTBLANK(D243:E243)+COUNTBLANK(G243:G243)+COUNTBLANK(O243:AJ243))&amp;" datos obligatorios",IF(NOT(ISNUMBER(B243)),"Fecha no válida",IF(N(B243)&gt;TODAY(),"Fecha futura",IF(IFERROR(VLOOKUP(E243,LISTAS!$A$2:$C$65,3,FALSE),"")&lt;&gt;D243,"La subregión no corresponde al municipio",IF(IF(L243="",FALSE,OR(L243&lt;0,L243&gt;110)),"Edad fuera de rango",IF((V243="Sí")+(W243="Sí")+(X243="Sí")+(Y243="Sí")=0,"Marque al menos un tipo de violencia","OK")))))))</f>
        <v/>
      </c>
    </row>
    <row r="244">
      <c r="A244" s="12">
        <f>IF(OR(F244="",F244="Revisar",C244=""),"",F244&amp;"-"&amp;C244&amp;"-"&amp;TEXT(COUNTIFS($F$2:F244,F244,$C$2:C244,C244),"0000"))</f>
        <v/>
      </c>
      <c r="B244" s="13" t="n"/>
      <c r="C244" s="12">
        <f>IF(ISNUMBER(B244),YEAR(B244),"")</f>
        <v/>
      </c>
      <c r="D244" s="14" t="n"/>
      <c r="E244" s="14" t="n"/>
      <c r="F244" s="12">
        <f>IF(E244="","",IFERROR(VLOOKUP(E244,LISTAS!$A$2:$C$65,2,FALSE),"Revisar"))</f>
        <v/>
      </c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2">
        <f>IF(COUNTA(B244:B244)+COUNTA(D244:E244)+COUNTA(G244:AJ244)=0,"",IF(COUNTBLANK(B244:B244)+COUNTBLANK(D244:E244)+COUNTBLANK(G244:G244)+COUNTBLANK(O244:AJ244)&gt;0,"Faltan "&amp;(COUNTBLANK(B244:B244)+COUNTBLANK(D244:E244)+COUNTBLANK(G244:G244)+COUNTBLANK(O244:AJ244))&amp;" datos obligatorios",IF(NOT(ISNUMBER(B244)),"Fecha no válida",IF(N(B244)&gt;TODAY(),"Fecha futura",IF(IFERROR(VLOOKUP(E244,LISTAS!$A$2:$C$65,3,FALSE),"")&lt;&gt;D244,"La subregión no corresponde al municipio",IF(IF(L244="",FALSE,OR(L244&lt;0,L244&gt;110)),"Edad fuera de rango",IF((V244="Sí")+(W244="Sí")+(X244="Sí")+(Y244="Sí")=0,"Marque al menos un tipo de violencia","OK")))))))</f>
        <v/>
      </c>
    </row>
    <row r="245">
      <c r="A245" s="12">
        <f>IF(OR(F245="",F245="Revisar",C245=""),"",F245&amp;"-"&amp;C245&amp;"-"&amp;TEXT(COUNTIFS($F$2:F245,F245,$C$2:C245,C245),"0000"))</f>
        <v/>
      </c>
      <c r="B245" s="13" t="n"/>
      <c r="C245" s="12">
        <f>IF(ISNUMBER(B245),YEAR(B245),"")</f>
        <v/>
      </c>
      <c r="D245" s="14" t="n"/>
      <c r="E245" s="14" t="n"/>
      <c r="F245" s="12">
        <f>IF(E245="","",IFERROR(VLOOKUP(E245,LISTAS!$A$2:$C$65,2,FALSE),"Revisar"))</f>
        <v/>
      </c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2">
        <f>IF(COUNTA(B245:B245)+COUNTA(D245:E245)+COUNTA(G245:AJ245)=0,"",IF(COUNTBLANK(B245:B245)+COUNTBLANK(D245:E245)+COUNTBLANK(G245:G245)+COUNTBLANK(O245:AJ245)&gt;0,"Faltan "&amp;(COUNTBLANK(B245:B245)+COUNTBLANK(D245:E245)+COUNTBLANK(G245:G245)+COUNTBLANK(O245:AJ245))&amp;" datos obligatorios",IF(NOT(ISNUMBER(B245)),"Fecha no válida",IF(N(B245)&gt;TODAY(),"Fecha futura",IF(IFERROR(VLOOKUP(E245,LISTAS!$A$2:$C$65,3,FALSE),"")&lt;&gt;D245,"La subregión no corresponde al municipio",IF(IF(L245="",FALSE,OR(L245&lt;0,L245&gt;110)),"Edad fuera de rango",IF((V245="Sí")+(W245="Sí")+(X245="Sí")+(Y245="Sí")=0,"Marque al menos un tipo de violencia","OK")))))))</f>
        <v/>
      </c>
    </row>
    <row r="246">
      <c r="A246" s="12">
        <f>IF(OR(F246="",F246="Revisar",C246=""),"",F246&amp;"-"&amp;C246&amp;"-"&amp;TEXT(COUNTIFS($F$2:F246,F246,$C$2:C246,C246),"0000"))</f>
        <v/>
      </c>
      <c r="B246" s="13" t="n"/>
      <c r="C246" s="12">
        <f>IF(ISNUMBER(B246),YEAR(B246),"")</f>
        <v/>
      </c>
      <c r="D246" s="14" t="n"/>
      <c r="E246" s="14" t="n"/>
      <c r="F246" s="12">
        <f>IF(E246="","",IFERROR(VLOOKUP(E246,LISTAS!$A$2:$C$65,2,FALSE),"Revisar"))</f>
        <v/>
      </c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2">
        <f>IF(COUNTA(B246:B246)+COUNTA(D246:E246)+COUNTA(G246:AJ246)=0,"",IF(COUNTBLANK(B246:B246)+COUNTBLANK(D246:E246)+COUNTBLANK(G246:G246)+COUNTBLANK(O246:AJ246)&gt;0,"Faltan "&amp;(COUNTBLANK(B246:B246)+COUNTBLANK(D246:E246)+COUNTBLANK(G246:G246)+COUNTBLANK(O246:AJ246))&amp;" datos obligatorios",IF(NOT(ISNUMBER(B246)),"Fecha no válida",IF(N(B246)&gt;TODAY(),"Fecha futura",IF(IFERROR(VLOOKUP(E246,LISTAS!$A$2:$C$65,3,FALSE),"")&lt;&gt;D246,"La subregión no corresponde al municipio",IF(IF(L246="",FALSE,OR(L246&lt;0,L246&gt;110)),"Edad fuera de rango",IF((V246="Sí")+(W246="Sí")+(X246="Sí")+(Y246="Sí")=0,"Marque al menos un tipo de violencia","OK")))))))</f>
        <v/>
      </c>
    </row>
    <row r="247">
      <c r="A247" s="12">
        <f>IF(OR(F247="",F247="Revisar",C247=""),"",F247&amp;"-"&amp;C247&amp;"-"&amp;TEXT(COUNTIFS($F$2:F247,F247,$C$2:C247,C247),"0000"))</f>
        <v/>
      </c>
      <c r="B247" s="13" t="n"/>
      <c r="C247" s="12">
        <f>IF(ISNUMBER(B247),YEAR(B247),"")</f>
        <v/>
      </c>
      <c r="D247" s="14" t="n"/>
      <c r="E247" s="14" t="n"/>
      <c r="F247" s="12">
        <f>IF(E247="","",IFERROR(VLOOKUP(E247,LISTAS!$A$2:$C$65,2,FALSE),"Revisar"))</f>
        <v/>
      </c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2">
        <f>IF(COUNTA(B247:B247)+COUNTA(D247:E247)+COUNTA(G247:AJ247)=0,"",IF(COUNTBLANK(B247:B247)+COUNTBLANK(D247:E247)+COUNTBLANK(G247:G247)+COUNTBLANK(O247:AJ247)&gt;0,"Faltan "&amp;(COUNTBLANK(B247:B247)+COUNTBLANK(D247:E247)+COUNTBLANK(G247:G247)+COUNTBLANK(O247:AJ247))&amp;" datos obligatorios",IF(NOT(ISNUMBER(B247)),"Fecha no válida",IF(N(B247)&gt;TODAY(),"Fecha futura",IF(IFERROR(VLOOKUP(E247,LISTAS!$A$2:$C$65,3,FALSE),"")&lt;&gt;D247,"La subregión no corresponde al municipio",IF(IF(L247="",FALSE,OR(L247&lt;0,L247&gt;110)),"Edad fuera de rango",IF((V247="Sí")+(W247="Sí")+(X247="Sí")+(Y247="Sí")=0,"Marque al menos un tipo de violencia","OK")))))))</f>
        <v/>
      </c>
    </row>
    <row r="248">
      <c r="A248" s="12">
        <f>IF(OR(F248="",F248="Revisar",C248=""),"",F248&amp;"-"&amp;C248&amp;"-"&amp;TEXT(COUNTIFS($F$2:F248,F248,$C$2:C248,C248),"0000"))</f>
        <v/>
      </c>
      <c r="B248" s="13" t="n"/>
      <c r="C248" s="12">
        <f>IF(ISNUMBER(B248),YEAR(B248),"")</f>
        <v/>
      </c>
      <c r="D248" s="14" t="n"/>
      <c r="E248" s="14" t="n"/>
      <c r="F248" s="12">
        <f>IF(E248="","",IFERROR(VLOOKUP(E248,LISTAS!$A$2:$C$65,2,FALSE),"Revisar"))</f>
        <v/>
      </c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2">
        <f>IF(COUNTA(B248:B248)+COUNTA(D248:E248)+COUNTA(G248:AJ248)=0,"",IF(COUNTBLANK(B248:B248)+COUNTBLANK(D248:E248)+COUNTBLANK(G248:G248)+COUNTBLANK(O248:AJ248)&gt;0,"Faltan "&amp;(COUNTBLANK(B248:B248)+COUNTBLANK(D248:E248)+COUNTBLANK(G248:G248)+COUNTBLANK(O248:AJ248))&amp;" datos obligatorios",IF(NOT(ISNUMBER(B248)),"Fecha no válida",IF(N(B248)&gt;TODAY(),"Fecha futura",IF(IFERROR(VLOOKUP(E248,LISTAS!$A$2:$C$65,3,FALSE),"")&lt;&gt;D248,"La subregión no corresponde al municipio",IF(IF(L248="",FALSE,OR(L248&lt;0,L248&gt;110)),"Edad fuera de rango",IF((V248="Sí")+(W248="Sí")+(X248="Sí")+(Y248="Sí")=0,"Marque al menos un tipo de violencia","OK")))))))</f>
        <v/>
      </c>
    </row>
    <row r="249">
      <c r="A249" s="12">
        <f>IF(OR(F249="",F249="Revisar",C249=""),"",F249&amp;"-"&amp;C249&amp;"-"&amp;TEXT(COUNTIFS($F$2:F249,F249,$C$2:C249,C249),"0000"))</f>
        <v/>
      </c>
      <c r="B249" s="13" t="n"/>
      <c r="C249" s="12">
        <f>IF(ISNUMBER(B249),YEAR(B249),"")</f>
        <v/>
      </c>
      <c r="D249" s="14" t="n"/>
      <c r="E249" s="14" t="n"/>
      <c r="F249" s="12">
        <f>IF(E249="","",IFERROR(VLOOKUP(E249,LISTAS!$A$2:$C$65,2,FALSE),"Revisar"))</f>
        <v/>
      </c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2">
        <f>IF(COUNTA(B249:B249)+COUNTA(D249:E249)+COUNTA(G249:AJ249)=0,"",IF(COUNTBLANK(B249:B249)+COUNTBLANK(D249:E249)+COUNTBLANK(G249:G249)+COUNTBLANK(O249:AJ249)&gt;0,"Faltan "&amp;(COUNTBLANK(B249:B249)+COUNTBLANK(D249:E249)+COUNTBLANK(G249:G249)+COUNTBLANK(O249:AJ249))&amp;" datos obligatorios",IF(NOT(ISNUMBER(B249)),"Fecha no válida",IF(N(B249)&gt;TODAY(),"Fecha futura",IF(IFERROR(VLOOKUP(E249,LISTAS!$A$2:$C$65,3,FALSE),"")&lt;&gt;D249,"La subregión no corresponde al municipio",IF(IF(L249="",FALSE,OR(L249&lt;0,L249&gt;110)),"Edad fuera de rango",IF((V249="Sí")+(W249="Sí")+(X249="Sí")+(Y249="Sí")=0,"Marque al menos un tipo de violencia","OK")))))))</f>
        <v/>
      </c>
    </row>
    <row r="250">
      <c r="A250" s="12">
        <f>IF(OR(F250="",F250="Revisar",C250=""),"",F250&amp;"-"&amp;C250&amp;"-"&amp;TEXT(COUNTIFS($F$2:F250,F250,$C$2:C250,C250),"0000"))</f>
        <v/>
      </c>
      <c r="B250" s="13" t="n"/>
      <c r="C250" s="12">
        <f>IF(ISNUMBER(B250),YEAR(B250),"")</f>
        <v/>
      </c>
      <c r="D250" s="14" t="n"/>
      <c r="E250" s="14" t="n"/>
      <c r="F250" s="12">
        <f>IF(E250="","",IFERROR(VLOOKUP(E250,LISTAS!$A$2:$C$65,2,FALSE),"Revisar"))</f>
        <v/>
      </c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2">
        <f>IF(COUNTA(B250:B250)+COUNTA(D250:E250)+COUNTA(G250:AJ250)=0,"",IF(COUNTBLANK(B250:B250)+COUNTBLANK(D250:E250)+COUNTBLANK(G250:G250)+COUNTBLANK(O250:AJ250)&gt;0,"Faltan "&amp;(COUNTBLANK(B250:B250)+COUNTBLANK(D250:E250)+COUNTBLANK(G250:G250)+COUNTBLANK(O250:AJ250))&amp;" datos obligatorios",IF(NOT(ISNUMBER(B250)),"Fecha no válida",IF(N(B250)&gt;TODAY(),"Fecha futura",IF(IFERROR(VLOOKUP(E250,LISTAS!$A$2:$C$65,3,FALSE),"")&lt;&gt;D250,"La subregión no corresponde al municipio",IF(IF(L250="",FALSE,OR(L250&lt;0,L250&gt;110)),"Edad fuera de rango",IF((V250="Sí")+(W250="Sí")+(X250="Sí")+(Y250="Sí")=0,"Marque al menos un tipo de violencia","OK")))))))</f>
        <v/>
      </c>
    </row>
    <row r="251">
      <c r="A251" s="12">
        <f>IF(OR(F251="",F251="Revisar",C251=""),"",F251&amp;"-"&amp;C251&amp;"-"&amp;TEXT(COUNTIFS($F$2:F251,F251,$C$2:C251,C251),"0000"))</f>
        <v/>
      </c>
      <c r="B251" s="13" t="n"/>
      <c r="C251" s="12">
        <f>IF(ISNUMBER(B251),YEAR(B251),"")</f>
        <v/>
      </c>
      <c r="D251" s="14" t="n"/>
      <c r="E251" s="14" t="n"/>
      <c r="F251" s="12">
        <f>IF(E251="","",IFERROR(VLOOKUP(E251,LISTAS!$A$2:$C$65,2,FALSE),"Revisar"))</f>
        <v/>
      </c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2">
        <f>IF(COUNTA(B251:B251)+COUNTA(D251:E251)+COUNTA(G251:AJ251)=0,"",IF(COUNTBLANK(B251:B251)+COUNTBLANK(D251:E251)+COUNTBLANK(G251:G251)+COUNTBLANK(O251:AJ251)&gt;0,"Faltan "&amp;(COUNTBLANK(B251:B251)+COUNTBLANK(D251:E251)+COUNTBLANK(G251:G251)+COUNTBLANK(O251:AJ251))&amp;" datos obligatorios",IF(NOT(ISNUMBER(B251)),"Fecha no válida",IF(N(B251)&gt;TODAY(),"Fecha futura",IF(IFERROR(VLOOKUP(E251,LISTAS!$A$2:$C$65,3,FALSE),"")&lt;&gt;D251,"La subregión no corresponde al municipio",IF(IF(L251="",FALSE,OR(L251&lt;0,L251&gt;110)),"Edad fuera de rango",IF((V251="Sí")+(W251="Sí")+(X251="Sí")+(Y251="Sí")=0,"Marque al menos un tipo de violencia","OK")))))))</f>
        <v/>
      </c>
    </row>
    <row r="252">
      <c r="A252" s="12">
        <f>IF(OR(F252="",F252="Revisar",C252=""),"",F252&amp;"-"&amp;C252&amp;"-"&amp;TEXT(COUNTIFS($F$2:F252,F252,$C$2:C252,C252),"0000"))</f>
        <v/>
      </c>
      <c r="B252" s="13" t="n"/>
      <c r="C252" s="12">
        <f>IF(ISNUMBER(B252),YEAR(B252),"")</f>
        <v/>
      </c>
      <c r="D252" s="14" t="n"/>
      <c r="E252" s="14" t="n"/>
      <c r="F252" s="12">
        <f>IF(E252="","",IFERROR(VLOOKUP(E252,LISTAS!$A$2:$C$65,2,FALSE),"Revisar"))</f>
        <v/>
      </c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2">
        <f>IF(COUNTA(B252:B252)+COUNTA(D252:E252)+COUNTA(G252:AJ252)=0,"",IF(COUNTBLANK(B252:B252)+COUNTBLANK(D252:E252)+COUNTBLANK(G252:G252)+COUNTBLANK(O252:AJ252)&gt;0,"Faltan "&amp;(COUNTBLANK(B252:B252)+COUNTBLANK(D252:E252)+COUNTBLANK(G252:G252)+COUNTBLANK(O252:AJ252))&amp;" datos obligatorios",IF(NOT(ISNUMBER(B252)),"Fecha no válida",IF(N(B252)&gt;TODAY(),"Fecha futura",IF(IFERROR(VLOOKUP(E252,LISTAS!$A$2:$C$65,3,FALSE),"")&lt;&gt;D252,"La subregión no corresponde al municipio",IF(IF(L252="",FALSE,OR(L252&lt;0,L252&gt;110)),"Edad fuera de rango",IF((V252="Sí")+(W252="Sí")+(X252="Sí")+(Y252="Sí")=0,"Marque al menos un tipo de violencia","OK")))))))</f>
        <v/>
      </c>
    </row>
    <row r="253">
      <c r="A253" s="12">
        <f>IF(OR(F253="",F253="Revisar",C253=""),"",F253&amp;"-"&amp;C253&amp;"-"&amp;TEXT(COUNTIFS($F$2:F253,F253,$C$2:C253,C253),"0000"))</f>
        <v/>
      </c>
      <c r="B253" s="13" t="n"/>
      <c r="C253" s="12">
        <f>IF(ISNUMBER(B253),YEAR(B253),"")</f>
        <v/>
      </c>
      <c r="D253" s="14" t="n"/>
      <c r="E253" s="14" t="n"/>
      <c r="F253" s="12">
        <f>IF(E253="","",IFERROR(VLOOKUP(E253,LISTAS!$A$2:$C$65,2,FALSE),"Revisar"))</f>
        <v/>
      </c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2">
        <f>IF(COUNTA(B253:B253)+COUNTA(D253:E253)+COUNTA(G253:AJ253)=0,"",IF(COUNTBLANK(B253:B253)+COUNTBLANK(D253:E253)+COUNTBLANK(G253:G253)+COUNTBLANK(O253:AJ253)&gt;0,"Faltan "&amp;(COUNTBLANK(B253:B253)+COUNTBLANK(D253:E253)+COUNTBLANK(G253:G253)+COUNTBLANK(O253:AJ253))&amp;" datos obligatorios",IF(NOT(ISNUMBER(B253)),"Fecha no válida",IF(N(B253)&gt;TODAY(),"Fecha futura",IF(IFERROR(VLOOKUP(E253,LISTAS!$A$2:$C$65,3,FALSE),"")&lt;&gt;D253,"La subregión no corresponde al municipio",IF(IF(L253="",FALSE,OR(L253&lt;0,L253&gt;110)),"Edad fuera de rango",IF((V253="Sí")+(W253="Sí")+(X253="Sí")+(Y253="Sí")=0,"Marque al menos un tipo de violencia","OK")))))))</f>
        <v/>
      </c>
    </row>
    <row r="254">
      <c r="A254" s="12">
        <f>IF(OR(F254="",F254="Revisar",C254=""),"",F254&amp;"-"&amp;C254&amp;"-"&amp;TEXT(COUNTIFS($F$2:F254,F254,$C$2:C254,C254),"0000"))</f>
        <v/>
      </c>
      <c r="B254" s="13" t="n"/>
      <c r="C254" s="12">
        <f>IF(ISNUMBER(B254),YEAR(B254),"")</f>
        <v/>
      </c>
      <c r="D254" s="14" t="n"/>
      <c r="E254" s="14" t="n"/>
      <c r="F254" s="12">
        <f>IF(E254="","",IFERROR(VLOOKUP(E254,LISTAS!$A$2:$C$65,2,FALSE),"Revisar"))</f>
        <v/>
      </c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2">
        <f>IF(COUNTA(B254:B254)+COUNTA(D254:E254)+COUNTA(G254:AJ254)=0,"",IF(COUNTBLANK(B254:B254)+COUNTBLANK(D254:E254)+COUNTBLANK(G254:G254)+COUNTBLANK(O254:AJ254)&gt;0,"Faltan "&amp;(COUNTBLANK(B254:B254)+COUNTBLANK(D254:E254)+COUNTBLANK(G254:G254)+COUNTBLANK(O254:AJ254))&amp;" datos obligatorios",IF(NOT(ISNUMBER(B254)),"Fecha no válida",IF(N(B254)&gt;TODAY(),"Fecha futura",IF(IFERROR(VLOOKUP(E254,LISTAS!$A$2:$C$65,3,FALSE),"")&lt;&gt;D254,"La subregión no corresponde al municipio",IF(IF(L254="",FALSE,OR(L254&lt;0,L254&gt;110)),"Edad fuera de rango",IF((V254="Sí")+(W254="Sí")+(X254="Sí")+(Y254="Sí")=0,"Marque al menos un tipo de violencia","OK")))))))</f>
        <v/>
      </c>
    </row>
    <row r="255">
      <c r="A255" s="12">
        <f>IF(OR(F255="",F255="Revisar",C255=""),"",F255&amp;"-"&amp;C255&amp;"-"&amp;TEXT(COUNTIFS($F$2:F255,F255,$C$2:C255,C255),"0000"))</f>
        <v/>
      </c>
      <c r="B255" s="13" t="n"/>
      <c r="C255" s="12">
        <f>IF(ISNUMBER(B255),YEAR(B255),"")</f>
        <v/>
      </c>
      <c r="D255" s="14" t="n"/>
      <c r="E255" s="14" t="n"/>
      <c r="F255" s="12">
        <f>IF(E255="","",IFERROR(VLOOKUP(E255,LISTAS!$A$2:$C$65,2,FALSE),"Revisar"))</f>
        <v/>
      </c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2">
        <f>IF(COUNTA(B255:B255)+COUNTA(D255:E255)+COUNTA(G255:AJ255)=0,"",IF(COUNTBLANK(B255:B255)+COUNTBLANK(D255:E255)+COUNTBLANK(G255:G255)+COUNTBLANK(O255:AJ255)&gt;0,"Faltan "&amp;(COUNTBLANK(B255:B255)+COUNTBLANK(D255:E255)+COUNTBLANK(G255:G255)+COUNTBLANK(O255:AJ255))&amp;" datos obligatorios",IF(NOT(ISNUMBER(B255)),"Fecha no válida",IF(N(B255)&gt;TODAY(),"Fecha futura",IF(IFERROR(VLOOKUP(E255,LISTAS!$A$2:$C$65,3,FALSE),"")&lt;&gt;D255,"La subregión no corresponde al municipio",IF(IF(L255="",FALSE,OR(L255&lt;0,L255&gt;110)),"Edad fuera de rango",IF((V255="Sí")+(W255="Sí")+(X255="Sí")+(Y255="Sí")=0,"Marque al menos un tipo de violencia","OK")))))))</f>
        <v/>
      </c>
    </row>
    <row r="256">
      <c r="A256" s="12">
        <f>IF(OR(F256="",F256="Revisar",C256=""),"",F256&amp;"-"&amp;C256&amp;"-"&amp;TEXT(COUNTIFS($F$2:F256,F256,$C$2:C256,C256),"0000"))</f>
        <v/>
      </c>
      <c r="B256" s="13" t="n"/>
      <c r="C256" s="12">
        <f>IF(ISNUMBER(B256),YEAR(B256),"")</f>
        <v/>
      </c>
      <c r="D256" s="14" t="n"/>
      <c r="E256" s="14" t="n"/>
      <c r="F256" s="12">
        <f>IF(E256="","",IFERROR(VLOOKUP(E256,LISTAS!$A$2:$C$65,2,FALSE),"Revisar"))</f>
        <v/>
      </c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2">
        <f>IF(COUNTA(B256:B256)+COUNTA(D256:E256)+COUNTA(G256:AJ256)=0,"",IF(COUNTBLANK(B256:B256)+COUNTBLANK(D256:E256)+COUNTBLANK(G256:G256)+COUNTBLANK(O256:AJ256)&gt;0,"Faltan "&amp;(COUNTBLANK(B256:B256)+COUNTBLANK(D256:E256)+COUNTBLANK(G256:G256)+COUNTBLANK(O256:AJ256))&amp;" datos obligatorios",IF(NOT(ISNUMBER(B256)),"Fecha no válida",IF(N(B256)&gt;TODAY(),"Fecha futura",IF(IFERROR(VLOOKUP(E256,LISTAS!$A$2:$C$65,3,FALSE),"")&lt;&gt;D256,"La subregión no corresponde al municipio",IF(IF(L256="",FALSE,OR(L256&lt;0,L256&gt;110)),"Edad fuera de rango",IF((V256="Sí")+(W256="Sí")+(X256="Sí")+(Y256="Sí")=0,"Marque al menos un tipo de violencia","OK")))))))</f>
        <v/>
      </c>
    </row>
    <row r="257">
      <c r="A257" s="12">
        <f>IF(OR(F257="",F257="Revisar",C257=""),"",F257&amp;"-"&amp;C257&amp;"-"&amp;TEXT(COUNTIFS($F$2:F257,F257,$C$2:C257,C257),"0000"))</f>
        <v/>
      </c>
      <c r="B257" s="13" t="n"/>
      <c r="C257" s="12">
        <f>IF(ISNUMBER(B257),YEAR(B257),"")</f>
        <v/>
      </c>
      <c r="D257" s="14" t="n"/>
      <c r="E257" s="14" t="n"/>
      <c r="F257" s="12">
        <f>IF(E257="","",IFERROR(VLOOKUP(E257,LISTAS!$A$2:$C$65,2,FALSE),"Revisar"))</f>
        <v/>
      </c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2">
        <f>IF(COUNTA(B257:B257)+COUNTA(D257:E257)+COUNTA(G257:AJ257)=0,"",IF(COUNTBLANK(B257:B257)+COUNTBLANK(D257:E257)+COUNTBLANK(G257:G257)+COUNTBLANK(O257:AJ257)&gt;0,"Faltan "&amp;(COUNTBLANK(B257:B257)+COUNTBLANK(D257:E257)+COUNTBLANK(G257:G257)+COUNTBLANK(O257:AJ257))&amp;" datos obligatorios",IF(NOT(ISNUMBER(B257)),"Fecha no válida",IF(N(B257)&gt;TODAY(),"Fecha futura",IF(IFERROR(VLOOKUP(E257,LISTAS!$A$2:$C$65,3,FALSE),"")&lt;&gt;D257,"La subregión no corresponde al municipio",IF(IF(L257="",FALSE,OR(L257&lt;0,L257&gt;110)),"Edad fuera de rango",IF((V257="Sí")+(W257="Sí")+(X257="Sí")+(Y257="Sí")=0,"Marque al menos un tipo de violencia","OK")))))))</f>
        <v/>
      </c>
    </row>
    <row r="258">
      <c r="A258" s="12">
        <f>IF(OR(F258="",F258="Revisar",C258=""),"",F258&amp;"-"&amp;C258&amp;"-"&amp;TEXT(COUNTIFS($F$2:F258,F258,$C$2:C258,C258),"0000"))</f>
        <v/>
      </c>
      <c r="B258" s="13" t="n"/>
      <c r="C258" s="12">
        <f>IF(ISNUMBER(B258),YEAR(B258),"")</f>
        <v/>
      </c>
      <c r="D258" s="14" t="n"/>
      <c r="E258" s="14" t="n"/>
      <c r="F258" s="12">
        <f>IF(E258="","",IFERROR(VLOOKUP(E258,LISTAS!$A$2:$C$65,2,FALSE),"Revisar"))</f>
        <v/>
      </c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2">
        <f>IF(COUNTA(B258:B258)+COUNTA(D258:E258)+COUNTA(G258:AJ258)=0,"",IF(COUNTBLANK(B258:B258)+COUNTBLANK(D258:E258)+COUNTBLANK(G258:G258)+COUNTBLANK(O258:AJ258)&gt;0,"Faltan "&amp;(COUNTBLANK(B258:B258)+COUNTBLANK(D258:E258)+COUNTBLANK(G258:G258)+COUNTBLANK(O258:AJ258))&amp;" datos obligatorios",IF(NOT(ISNUMBER(B258)),"Fecha no válida",IF(N(B258)&gt;TODAY(),"Fecha futura",IF(IFERROR(VLOOKUP(E258,LISTAS!$A$2:$C$65,3,FALSE),"")&lt;&gt;D258,"La subregión no corresponde al municipio",IF(IF(L258="",FALSE,OR(L258&lt;0,L258&gt;110)),"Edad fuera de rango",IF((V258="Sí")+(W258="Sí")+(X258="Sí")+(Y258="Sí")=0,"Marque al menos un tipo de violencia","OK")))))))</f>
        <v/>
      </c>
    </row>
    <row r="259">
      <c r="A259" s="12">
        <f>IF(OR(F259="",F259="Revisar",C259=""),"",F259&amp;"-"&amp;C259&amp;"-"&amp;TEXT(COUNTIFS($F$2:F259,F259,$C$2:C259,C259),"0000"))</f>
        <v/>
      </c>
      <c r="B259" s="13" t="n"/>
      <c r="C259" s="12">
        <f>IF(ISNUMBER(B259),YEAR(B259),"")</f>
        <v/>
      </c>
      <c r="D259" s="14" t="n"/>
      <c r="E259" s="14" t="n"/>
      <c r="F259" s="12">
        <f>IF(E259="","",IFERROR(VLOOKUP(E259,LISTAS!$A$2:$C$65,2,FALSE),"Revisar"))</f>
        <v/>
      </c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2">
        <f>IF(COUNTA(B259:B259)+COUNTA(D259:E259)+COUNTA(G259:AJ259)=0,"",IF(COUNTBLANK(B259:B259)+COUNTBLANK(D259:E259)+COUNTBLANK(G259:G259)+COUNTBLANK(O259:AJ259)&gt;0,"Faltan "&amp;(COUNTBLANK(B259:B259)+COUNTBLANK(D259:E259)+COUNTBLANK(G259:G259)+COUNTBLANK(O259:AJ259))&amp;" datos obligatorios",IF(NOT(ISNUMBER(B259)),"Fecha no válida",IF(N(B259)&gt;TODAY(),"Fecha futura",IF(IFERROR(VLOOKUP(E259,LISTAS!$A$2:$C$65,3,FALSE),"")&lt;&gt;D259,"La subregión no corresponde al municipio",IF(IF(L259="",FALSE,OR(L259&lt;0,L259&gt;110)),"Edad fuera de rango",IF((V259="Sí")+(W259="Sí")+(X259="Sí")+(Y259="Sí")=0,"Marque al menos un tipo de violencia","OK")))))))</f>
        <v/>
      </c>
    </row>
    <row r="260">
      <c r="A260" s="12">
        <f>IF(OR(F260="",F260="Revisar",C260=""),"",F260&amp;"-"&amp;C260&amp;"-"&amp;TEXT(COUNTIFS($F$2:F260,F260,$C$2:C260,C260),"0000"))</f>
        <v/>
      </c>
      <c r="B260" s="13" t="n"/>
      <c r="C260" s="12">
        <f>IF(ISNUMBER(B260),YEAR(B260),"")</f>
        <v/>
      </c>
      <c r="D260" s="14" t="n"/>
      <c r="E260" s="14" t="n"/>
      <c r="F260" s="12">
        <f>IF(E260="","",IFERROR(VLOOKUP(E260,LISTAS!$A$2:$C$65,2,FALSE),"Revisar"))</f>
        <v/>
      </c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2">
        <f>IF(COUNTA(B260:B260)+COUNTA(D260:E260)+COUNTA(G260:AJ260)=0,"",IF(COUNTBLANK(B260:B260)+COUNTBLANK(D260:E260)+COUNTBLANK(G260:G260)+COUNTBLANK(O260:AJ260)&gt;0,"Faltan "&amp;(COUNTBLANK(B260:B260)+COUNTBLANK(D260:E260)+COUNTBLANK(G260:G260)+COUNTBLANK(O260:AJ260))&amp;" datos obligatorios",IF(NOT(ISNUMBER(B260)),"Fecha no válida",IF(N(B260)&gt;TODAY(),"Fecha futura",IF(IFERROR(VLOOKUP(E260,LISTAS!$A$2:$C$65,3,FALSE),"")&lt;&gt;D260,"La subregión no corresponde al municipio",IF(IF(L260="",FALSE,OR(L260&lt;0,L260&gt;110)),"Edad fuera de rango",IF((V260="Sí")+(W260="Sí")+(X260="Sí")+(Y260="Sí")=0,"Marque al menos un tipo de violencia","OK")))))))</f>
        <v/>
      </c>
    </row>
    <row r="261">
      <c r="A261" s="12">
        <f>IF(OR(F261="",F261="Revisar",C261=""),"",F261&amp;"-"&amp;C261&amp;"-"&amp;TEXT(COUNTIFS($F$2:F261,F261,$C$2:C261,C261),"0000"))</f>
        <v/>
      </c>
      <c r="B261" s="13" t="n"/>
      <c r="C261" s="12">
        <f>IF(ISNUMBER(B261),YEAR(B261),"")</f>
        <v/>
      </c>
      <c r="D261" s="14" t="n"/>
      <c r="E261" s="14" t="n"/>
      <c r="F261" s="12">
        <f>IF(E261="","",IFERROR(VLOOKUP(E261,LISTAS!$A$2:$C$65,2,FALSE),"Revisar"))</f>
        <v/>
      </c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2">
        <f>IF(COUNTA(B261:B261)+COUNTA(D261:E261)+COUNTA(G261:AJ261)=0,"",IF(COUNTBLANK(B261:B261)+COUNTBLANK(D261:E261)+COUNTBLANK(G261:G261)+COUNTBLANK(O261:AJ261)&gt;0,"Faltan "&amp;(COUNTBLANK(B261:B261)+COUNTBLANK(D261:E261)+COUNTBLANK(G261:G261)+COUNTBLANK(O261:AJ261))&amp;" datos obligatorios",IF(NOT(ISNUMBER(B261)),"Fecha no válida",IF(N(B261)&gt;TODAY(),"Fecha futura",IF(IFERROR(VLOOKUP(E261,LISTAS!$A$2:$C$65,3,FALSE),"")&lt;&gt;D261,"La subregión no corresponde al municipio",IF(IF(L261="",FALSE,OR(L261&lt;0,L261&gt;110)),"Edad fuera de rango",IF((V261="Sí")+(W261="Sí")+(X261="Sí")+(Y261="Sí")=0,"Marque al menos un tipo de violencia","OK")))))))</f>
        <v/>
      </c>
    </row>
    <row r="262">
      <c r="A262" s="12">
        <f>IF(OR(F262="",F262="Revisar",C262=""),"",F262&amp;"-"&amp;C262&amp;"-"&amp;TEXT(COUNTIFS($F$2:F262,F262,$C$2:C262,C262),"0000"))</f>
        <v/>
      </c>
      <c r="B262" s="13" t="n"/>
      <c r="C262" s="12">
        <f>IF(ISNUMBER(B262),YEAR(B262),"")</f>
        <v/>
      </c>
      <c r="D262" s="14" t="n"/>
      <c r="E262" s="14" t="n"/>
      <c r="F262" s="12">
        <f>IF(E262="","",IFERROR(VLOOKUP(E262,LISTAS!$A$2:$C$65,2,FALSE),"Revisar"))</f>
        <v/>
      </c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2">
        <f>IF(COUNTA(B262:B262)+COUNTA(D262:E262)+COUNTA(G262:AJ262)=0,"",IF(COUNTBLANK(B262:B262)+COUNTBLANK(D262:E262)+COUNTBLANK(G262:G262)+COUNTBLANK(O262:AJ262)&gt;0,"Faltan "&amp;(COUNTBLANK(B262:B262)+COUNTBLANK(D262:E262)+COUNTBLANK(G262:G262)+COUNTBLANK(O262:AJ262))&amp;" datos obligatorios",IF(NOT(ISNUMBER(B262)),"Fecha no válida",IF(N(B262)&gt;TODAY(),"Fecha futura",IF(IFERROR(VLOOKUP(E262,LISTAS!$A$2:$C$65,3,FALSE),"")&lt;&gt;D262,"La subregión no corresponde al municipio",IF(IF(L262="",FALSE,OR(L262&lt;0,L262&gt;110)),"Edad fuera de rango",IF((V262="Sí")+(W262="Sí")+(X262="Sí")+(Y262="Sí")=0,"Marque al menos un tipo de violencia","OK")))))))</f>
        <v/>
      </c>
    </row>
    <row r="263">
      <c r="A263" s="12">
        <f>IF(OR(F263="",F263="Revisar",C263=""),"",F263&amp;"-"&amp;C263&amp;"-"&amp;TEXT(COUNTIFS($F$2:F263,F263,$C$2:C263,C263),"0000"))</f>
        <v/>
      </c>
      <c r="B263" s="13" t="n"/>
      <c r="C263" s="12">
        <f>IF(ISNUMBER(B263),YEAR(B263),"")</f>
        <v/>
      </c>
      <c r="D263" s="14" t="n"/>
      <c r="E263" s="14" t="n"/>
      <c r="F263" s="12">
        <f>IF(E263="","",IFERROR(VLOOKUP(E263,LISTAS!$A$2:$C$65,2,FALSE),"Revisar"))</f>
        <v/>
      </c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2">
        <f>IF(COUNTA(B263:B263)+COUNTA(D263:E263)+COUNTA(G263:AJ263)=0,"",IF(COUNTBLANK(B263:B263)+COUNTBLANK(D263:E263)+COUNTBLANK(G263:G263)+COUNTBLANK(O263:AJ263)&gt;0,"Faltan "&amp;(COUNTBLANK(B263:B263)+COUNTBLANK(D263:E263)+COUNTBLANK(G263:G263)+COUNTBLANK(O263:AJ263))&amp;" datos obligatorios",IF(NOT(ISNUMBER(B263)),"Fecha no válida",IF(N(B263)&gt;TODAY(),"Fecha futura",IF(IFERROR(VLOOKUP(E263,LISTAS!$A$2:$C$65,3,FALSE),"")&lt;&gt;D263,"La subregión no corresponde al municipio",IF(IF(L263="",FALSE,OR(L263&lt;0,L263&gt;110)),"Edad fuera de rango",IF((V263="Sí")+(W263="Sí")+(X263="Sí")+(Y263="Sí")=0,"Marque al menos un tipo de violencia","OK")))))))</f>
        <v/>
      </c>
    </row>
    <row r="264">
      <c r="A264" s="12">
        <f>IF(OR(F264="",F264="Revisar",C264=""),"",F264&amp;"-"&amp;C264&amp;"-"&amp;TEXT(COUNTIFS($F$2:F264,F264,$C$2:C264,C264),"0000"))</f>
        <v/>
      </c>
      <c r="B264" s="13" t="n"/>
      <c r="C264" s="12">
        <f>IF(ISNUMBER(B264),YEAR(B264),"")</f>
        <v/>
      </c>
      <c r="D264" s="14" t="n"/>
      <c r="E264" s="14" t="n"/>
      <c r="F264" s="12">
        <f>IF(E264="","",IFERROR(VLOOKUP(E264,LISTAS!$A$2:$C$65,2,FALSE),"Revisar"))</f>
        <v/>
      </c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2">
        <f>IF(COUNTA(B264:B264)+COUNTA(D264:E264)+COUNTA(G264:AJ264)=0,"",IF(COUNTBLANK(B264:B264)+COUNTBLANK(D264:E264)+COUNTBLANK(G264:G264)+COUNTBLANK(O264:AJ264)&gt;0,"Faltan "&amp;(COUNTBLANK(B264:B264)+COUNTBLANK(D264:E264)+COUNTBLANK(G264:G264)+COUNTBLANK(O264:AJ264))&amp;" datos obligatorios",IF(NOT(ISNUMBER(B264)),"Fecha no válida",IF(N(B264)&gt;TODAY(),"Fecha futura",IF(IFERROR(VLOOKUP(E264,LISTAS!$A$2:$C$65,3,FALSE),"")&lt;&gt;D264,"La subregión no corresponde al municipio",IF(IF(L264="",FALSE,OR(L264&lt;0,L264&gt;110)),"Edad fuera de rango",IF((V264="Sí")+(W264="Sí")+(X264="Sí")+(Y264="Sí")=0,"Marque al menos un tipo de violencia","OK")))))))</f>
        <v/>
      </c>
    </row>
    <row r="265">
      <c r="A265" s="12">
        <f>IF(OR(F265="",F265="Revisar",C265=""),"",F265&amp;"-"&amp;C265&amp;"-"&amp;TEXT(COUNTIFS($F$2:F265,F265,$C$2:C265,C265),"0000"))</f>
        <v/>
      </c>
      <c r="B265" s="13" t="n"/>
      <c r="C265" s="12">
        <f>IF(ISNUMBER(B265),YEAR(B265),"")</f>
        <v/>
      </c>
      <c r="D265" s="14" t="n"/>
      <c r="E265" s="14" t="n"/>
      <c r="F265" s="12">
        <f>IF(E265="","",IFERROR(VLOOKUP(E265,LISTAS!$A$2:$C$65,2,FALSE),"Revisar"))</f>
        <v/>
      </c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2">
        <f>IF(COUNTA(B265:B265)+COUNTA(D265:E265)+COUNTA(G265:AJ265)=0,"",IF(COUNTBLANK(B265:B265)+COUNTBLANK(D265:E265)+COUNTBLANK(G265:G265)+COUNTBLANK(O265:AJ265)&gt;0,"Faltan "&amp;(COUNTBLANK(B265:B265)+COUNTBLANK(D265:E265)+COUNTBLANK(G265:G265)+COUNTBLANK(O265:AJ265))&amp;" datos obligatorios",IF(NOT(ISNUMBER(B265)),"Fecha no válida",IF(N(B265)&gt;TODAY(),"Fecha futura",IF(IFERROR(VLOOKUP(E265,LISTAS!$A$2:$C$65,3,FALSE),"")&lt;&gt;D265,"La subregión no corresponde al municipio",IF(IF(L265="",FALSE,OR(L265&lt;0,L265&gt;110)),"Edad fuera de rango",IF((V265="Sí")+(W265="Sí")+(X265="Sí")+(Y265="Sí")=0,"Marque al menos un tipo de violencia","OK")))))))</f>
        <v/>
      </c>
    </row>
    <row r="266">
      <c r="A266" s="12">
        <f>IF(OR(F266="",F266="Revisar",C266=""),"",F266&amp;"-"&amp;C266&amp;"-"&amp;TEXT(COUNTIFS($F$2:F266,F266,$C$2:C266,C266),"0000"))</f>
        <v/>
      </c>
      <c r="B266" s="13" t="n"/>
      <c r="C266" s="12">
        <f>IF(ISNUMBER(B266),YEAR(B266),"")</f>
        <v/>
      </c>
      <c r="D266" s="14" t="n"/>
      <c r="E266" s="14" t="n"/>
      <c r="F266" s="12">
        <f>IF(E266="","",IFERROR(VLOOKUP(E266,LISTAS!$A$2:$C$65,2,FALSE),"Revisar"))</f>
        <v/>
      </c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2">
        <f>IF(COUNTA(B266:B266)+COUNTA(D266:E266)+COUNTA(G266:AJ266)=0,"",IF(COUNTBLANK(B266:B266)+COUNTBLANK(D266:E266)+COUNTBLANK(G266:G266)+COUNTBLANK(O266:AJ266)&gt;0,"Faltan "&amp;(COUNTBLANK(B266:B266)+COUNTBLANK(D266:E266)+COUNTBLANK(G266:G266)+COUNTBLANK(O266:AJ266))&amp;" datos obligatorios",IF(NOT(ISNUMBER(B266)),"Fecha no válida",IF(N(B266)&gt;TODAY(),"Fecha futura",IF(IFERROR(VLOOKUP(E266,LISTAS!$A$2:$C$65,3,FALSE),"")&lt;&gt;D266,"La subregión no corresponde al municipio",IF(IF(L266="",FALSE,OR(L266&lt;0,L266&gt;110)),"Edad fuera de rango",IF((V266="Sí")+(W266="Sí")+(X266="Sí")+(Y266="Sí")=0,"Marque al menos un tipo de violencia","OK")))))))</f>
        <v/>
      </c>
    </row>
    <row r="267">
      <c r="A267" s="12">
        <f>IF(OR(F267="",F267="Revisar",C267=""),"",F267&amp;"-"&amp;C267&amp;"-"&amp;TEXT(COUNTIFS($F$2:F267,F267,$C$2:C267,C267),"0000"))</f>
        <v/>
      </c>
      <c r="B267" s="13" t="n"/>
      <c r="C267" s="12">
        <f>IF(ISNUMBER(B267),YEAR(B267),"")</f>
        <v/>
      </c>
      <c r="D267" s="14" t="n"/>
      <c r="E267" s="14" t="n"/>
      <c r="F267" s="12">
        <f>IF(E267="","",IFERROR(VLOOKUP(E267,LISTAS!$A$2:$C$65,2,FALSE),"Revisar"))</f>
        <v/>
      </c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2">
        <f>IF(COUNTA(B267:B267)+COUNTA(D267:E267)+COUNTA(G267:AJ267)=0,"",IF(COUNTBLANK(B267:B267)+COUNTBLANK(D267:E267)+COUNTBLANK(G267:G267)+COUNTBLANK(O267:AJ267)&gt;0,"Faltan "&amp;(COUNTBLANK(B267:B267)+COUNTBLANK(D267:E267)+COUNTBLANK(G267:G267)+COUNTBLANK(O267:AJ267))&amp;" datos obligatorios",IF(NOT(ISNUMBER(B267)),"Fecha no válida",IF(N(B267)&gt;TODAY(),"Fecha futura",IF(IFERROR(VLOOKUP(E267,LISTAS!$A$2:$C$65,3,FALSE),"")&lt;&gt;D267,"La subregión no corresponde al municipio",IF(IF(L267="",FALSE,OR(L267&lt;0,L267&gt;110)),"Edad fuera de rango",IF((V267="Sí")+(W267="Sí")+(X267="Sí")+(Y267="Sí")=0,"Marque al menos un tipo de violencia","OK")))))))</f>
        <v/>
      </c>
    </row>
    <row r="268">
      <c r="A268" s="12">
        <f>IF(OR(F268="",F268="Revisar",C268=""),"",F268&amp;"-"&amp;C268&amp;"-"&amp;TEXT(COUNTIFS($F$2:F268,F268,$C$2:C268,C268),"0000"))</f>
        <v/>
      </c>
      <c r="B268" s="13" t="n"/>
      <c r="C268" s="12">
        <f>IF(ISNUMBER(B268),YEAR(B268),"")</f>
        <v/>
      </c>
      <c r="D268" s="14" t="n"/>
      <c r="E268" s="14" t="n"/>
      <c r="F268" s="12">
        <f>IF(E268="","",IFERROR(VLOOKUP(E268,LISTAS!$A$2:$C$65,2,FALSE),"Revisar"))</f>
        <v/>
      </c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2">
        <f>IF(COUNTA(B268:B268)+COUNTA(D268:E268)+COUNTA(G268:AJ268)=0,"",IF(COUNTBLANK(B268:B268)+COUNTBLANK(D268:E268)+COUNTBLANK(G268:G268)+COUNTBLANK(O268:AJ268)&gt;0,"Faltan "&amp;(COUNTBLANK(B268:B268)+COUNTBLANK(D268:E268)+COUNTBLANK(G268:G268)+COUNTBLANK(O268:AJ268))&amp;" datos obligatorios",IF(NOT(ISNUMBER(B268)),"Fecha no válida",IF(N(B268)&gt;TODAY(),"Fecha futura",IF(IFERROR(VLOOKUP(E268,LISTAS!$A$2:$C$65,3,FALSE),"")&lt;&gt;D268,"La subregión no corresponde al municipio",IF(IF(L268="",FALSE,OR(L268&lt;0,L268&gt;110)),"Edad fuera de rango",IF((V268="Sí")+(W268="Sí")+(X268="Sí")+(Y268="Sí")=0,"Marque al menos un tipo de violencia","OK")))))))</f>
        <v/>
      </c>
    </row>
    <row r="269">
      <c r="A269" s="12">
        <f>IF(OR(F269="",F269="Revisar",C269=""),"",F269&amp;"-"&amp;C269&amp;"-"&amp;TEXT(COUNTIFS($F$2:F269,F269,$C$2:C269,C269),"0000"))</f>
        <v/>
      </c>
      <c r="B269" s="13" t="n"/>
      <c r="C269" s="12">
        <f>IF(ISNUMBER(B269),YEAR(B269),"")</f>
        <v/>
      </c>
      <c r="D269" s="14" t="n"/>
      <c r="E269" s="14" t="n"/>
      <c r="F269" s="12">
        <f>IF(E269="","",IFERROR(VLOOKUP(E269,LISTAS!$A$2:$C$65,2,FALSE),"Revisar"))</f>
        <v/>
      </c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2">
        <f>IF(COUNTA(B269:B269)+COUNTA(D269:E269)+COUNTA(G269:AJ269)=0,"",IF(COUNTBLANK(B269:B269)+COUNTBLANK(D269:E269)+COUNTBLANK(G269:G269)+COUNTBLANK(O269:AJ269)&gt;0,"Faltan "&amp;(COUNTBLANK(B269:B269)+COUNTBLANK(D269:E269)+COUNTBLANK(G269:G269)+COUNTBLANK(O269:AJ269))&amp;" datos obligatorios",IF(NOT(ISNUMBER(B269)),"Fecha no válida",IF(N(B269)&gt;TODAY(),"Fecha futura",IF(IFERROR(VLOOKUP(E269,LISTAS!$A$2:$C$65,3,FALSE),"")&lt;&gt;D269,"La subregión no corresponde al municipio",IF(IF(L269="",FALSE,OR(L269&lt;0,L269&gt;110)),"Edad fuera de rango",IF((V269="Sí")+(W269="Sí")+(X269="Sí")+(Y269="Sí")=0,"Marque al menos un tipo de violencia","OK")))))))</f>
        <v/>
      </c>
    </row>
    <row r="270">
      <c r="A270" s="12">
        <f>IF(OR(F270="",F270="Revisar",C270=""),"",F270&amp;"-"&amp;C270&amp;"-"&amp;TEXT(COUNTIFS($F$2:F270,F270,$C$2:C270,C270),"0000"))</f>
        <v/>
      </c>
      <c r="B270" s="13" t="n"/>
      <c r="C270" s="12">
        <f>IF(ISNUMBER(B270),YEAR(B270),"")</f>
        <v/>
      </c>
      <c r="D270" s="14" t="n"/>
      <c r="E270" s="14" t="n"/>
      <c r="F270" s="12">
        <f>IF(E270="","",IFERROR(VLOOKUP(E270,LISTAS!$A$2:$C$65,2,FALSE),"Revisar"))</f>
        <v/>
      </c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2">
        <f>IF(COUNTA(B270:B270)+COUNTA(D270:E270)+COUNTA(G270:AJ270)=0,"",IF(COUNTBLANK(B270:B270)+COUNTBLANK(D270:E270)+COUNTBLANK(G270:G270)+COUNTBLANK(O270:AJ270)&gt;0,"Faltan "&amp;(COUNTBLANK(B270:B270)+COUNTBLANK(D270:E270)+COUNTBLANK(G270:G270)+COUNTBLANK(O270:AJ270))&amp;" datos obligatorios",IF(NOT(ISNUMBER(B270)),"Fecha no válida",IF(N(B270)&gt;TODAY(),"Fecha futura",IF(IFERROR(VLOOKUP(E270,LISTAS!$A$2:$C$65,3,FALSE),"")&lt;&gt;D270,"La subregión no corresponde al municipio",IF(IF(L270="",FALSE,OR(L270&lt;0,L270&gt;110)),"Edad fuera de rango",IF((V270="Sí")+(W270="Sí")+(X270="Sí")+(Y270="Sí")=0,"Marque al menos un tipo de violencia","OK")))))))</f>
        <v/>
      </c>
    </row>
    <row r="271">
      <c r="A271" s="12">
        <f>IF(OR(F271="",F271="Revisar",C271=""),"",F271&amp;"-"&amp;C271&amp;"-"&amp;TEXT(COUNTIFS($F$2:F271,F271,$C$2:C271,C271),"0000"))</f>
        <v/>
      </c>
      <c r="B271" s="13" t="n"/>
      <c r="C271" s="12">
        <f>IF(ISNUMBER(B271),YEAR(B271),"")</f>
        <v/>
      </c>
      <c r="D271" s="14" t="n"/>
      <c r="E271" s="14" t="n"/>
      <c r="F271" s="12">
        <f>IF(E271="","",IFERROR(VLOOKUP(E271,LISTAS!$A$2:$C$65,2,FALSE),"Revisar"))</f>
        <v/>
      </c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2">
        <f>IF(COUNTA(B271:B271)+COUNTA(D271:E271)+COUNTA(G271:AJ271)=0,"",IF(COUNTBLANK(B271:B271)+COUNTBLANK(D271:E271)+COUNTBLANK(G271:G271)+COUNTBLANK(O271:AJ271)&gt;0,"Faltan "&amp;(COUNTBLANK(B271:B271)+COUNTBLANK(D271:E271)+COUNTBLANK(G271:G271)+COUNTBLANK(O271:AJ271))&amp;" datos obligatorios",IF(NOT(ISNUMBER(B271)),"Fecha no válida",IF(N(B271)&gt;TODAY(),"Fecha futura",IF(IFERROR(VLOOKUP(E271,LISTAS!$A$2:$C$65,3,FALSE),"")&lt;&gt;D271,"La subregión no corresponde al municipio",IF(IF(L271="",FALSE,OR(L271&lt;0,L271&gt;110)),"Edad fuera de rango",IF((V271="Sí")+(W271="Sí")+(X271="Sí")+(Y271="Sí")=0,"Marque al menos un tipo de violencia","OK")))))))</f>
        <v/>
      </c>
    </row>
    <row r="272">
      <c r="A272" s="12">
        <f>IF(OR(F272="",F272="Revisar",C272=""),"",F272&amp;"-"&amp;C272&amp;"-"&amp;TEXT(COUNTIFS($F$2:F272,F272,$C$2:C272,C272),"0000"))</f>
        <v/>
      </c>
      <c r="B272" s="13" t="n"/>
      <c r="C272" s="12">
        <f>IF(ISNUMBER(B272),YEAR(B272),"")</f>
        <v/>
      </c>
      <c r="D272" s="14" t="n"/>
      <c r="E272" s="14" t="n"/>
      <c r="F272" s="12">
        <f>IF(E272="","",IFERROR(VLOOKUP(E272,LISTAS!$A$2:$C$65,2,FALSE),"Revisar"))</f>
        <v/>
      </c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2">
        <f>IF(COUNTA(B272:B272)+COUNTA(D272:E272)+COUNTA(G272:AJ272)=0,"",IF(COUNTBLANK(B272:B272)+COUNTBLANK(D272:E272)+COUNTBLANK(G272:G272)+COUNTBLANK(O272:AJ272)&gt;0,"Faltan "&amp;(COUNTBLANK(B272:B272)+COUNTBLANK(D272:E272)+COUNTBLANK(G272:G272)+COUNTBLANK(O272:AJ272))&amp;" datos obligatorios",IF(NOT(ISNUMBER(B272)),"Fecha no válida",IF(N(B272)&gt;TODAY(),"Fecha futura",IF(IFERROR(VLOOKUP(E272,LISTAS!$A$2:$C$65,3,FALSE),"")&lt;&gt;D272,"La subregión no corresponde al municipio",IF(IF(L272="",FALSE,OR(L272&lt;0,L272&gt;110)),"Edad fuera de rango",IF((V272="Sí")+(W272="Sí")+(X272="Sí")+(Y272="Sí")=0,"Marque al menos un tipo de violencia","OK")))))))</f>
        <v/>
      </c>
    </row>
    <row r="273">
      <c r="A273" s="12">
        <f>IF(OR(F273="",F273="Revisar",C273=""),"",F273&amp;"-"&amp;C273&amp;"-"&amp;TEXT(COUNTIFS($F$2:F273,F273,$C$2:C273,C273),"0000"))</f>
        <v/>
      </c>
      <c r="B273" s="13" t="n"/>
      <c r="C273" s="12">
        <f>IF(ISNUMBER(B273),YEAR(B273),"")</f>
        <v/>
      </c>
      <c r="D273" s="14" t="n"/>
      <c r="E273" s="14" t="n"/>
      <c r="F273" s="12">
        <f>IF(E273="","",IFERROR(VLOOKUP(E273,LISTAS!$A$2:$C$65,2,FALSE),"Revisar"))</f>
        <v/>
      </c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2">
        <f>IF(COUNTA(B273:B273)+COUNTA(D273:E273)+COUNTA(G273:AJ273)=0,"",IF(COUNTBLANK(B273:B273)+COUNTBLANK(D273:E273)+COUNTBLANK(G273:G273)+COUNTBLANK(O273:AJ273)&gt;0,"Faltan "&amp;(COUNTBLANK(B273:B273)+COUNTBLANK(D273:E273)+COUNTBLANK(G273:G273)+COUNTBLANK(O273:AJ273))&amp;" datos obligatorios",IF(NOT(ISNUMBER(B273)),"Fecha no válida",IF(N(B273)&gt;TODAY(),"Fecha futura",IF(IFERROR(VLOOKUP(E273,LISTAS!$A$2:$C$65,3,FALSE),"")&lt;&gt;D273,"La subregión no corresponde al municipio",IF(IF(L273="",FALSE,OR(L273&lt;0,L273&gt;110)),"Edad fuera de rango",IF((V273="Sí")+(W273="Sí")+(X273="Sí")+(Y273="Sí")=0,"Marque al menos un tipo de violencia","OK")))))))</f>
        <v/>
      </c>
    </row>
    <row r="274">
      <c r="A274" s="12">
        <f>IF(OR(F274="",F274="Revisar",C274=""),"",F274&amp;"-"&amp;C274&amp;"-"&amp;TEXT(COUNTIFS($F$2:F274,F274,$C$2:C274,C274),"0000"))</f>
        <v/>
      </c>
      <c r="B274" s="13" t="n"/>
      <c r="C274" s="12">
        <f>IF(ISNUMBER(B274),YEAR(B274),"")</f>
        <v/>
      </c>
      <c r="D274" s="14" t="n"/>
      <c r="E274" s="14" t="n"/>
      <c r="F274" s="12">
        <f>IF(E274="","",IFERROR(VLOOKUP(E274,LISTAS!$A$2:$C$65,2,FALSE),"Revisar"))</f>
        <v/>
      </c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2">
        <f>IF(COUNTA(B274:B274)+COUNTA(D274:E274)+COUNTA(G274:AJ274)=0,"",IF(COUNTBLANK(B274:B274)+COUNTBLANK(D274:E274)+COUNTBLANK(G274:G274)+COUNTBLANK(O274:AJ274)&gt;0,"Faltan "&amp;(COUNTBLANK(B274:B274)+COUNTBLANK(D274:E274)+COUNTBLANK(G274:G274)+COUNTBLANK(O274:AJ274))&amp;" datos obligatorios",IF(NOT(ISNUMBER(B274)),"Fecha no válida",IF(N(B274)&gt;TODAY(),"Fecha futura",IF(IFERROR(VLOOKUP(E274,LISTAS!$A$2:$C$65,3,FALSE),"")&lt;&gt;D274,"La subregión no corresponde al municipio",IF(IF(L274="",FALSE,OR(L274&lt;0,L274&gt;110)),"Edad fuera de rango",IF((V274="Sí")+(W274="Sí")+(X274="Sí")+(Y274="Sí")=0,"Marque al menos un tipo de violencia","OK")))))))</f>
        <v/>
      </c>
    </row>
    <row r="275">
      <c r="A275" s="12">
        <f>IF(OR(F275="",F275="Revisar",C275=""),"",F275&amp;"-"&amp;C275&amp;"-"&amp;TEXT(COUNTIFS($F$2:F275,F275,$C$2:C275,C275),"0000"))</f>
        <v/>
      </c>
      <c r="B275" s="13" t="n"/>
      <c r="C275" s="12">
        <f>IF(ISNUMBER(B275),YEAR(B275),"")</f>
        <v/>
      </c>
      <c r="D275" s="14" t="n"/>
      <c r="E275" s="14" t="n"/>
      <c r="F275" s="12">
        <f>IF(E275="","",IFERROR(VLOOKUP(E275,LISTAS!$A$2:$C$65,2,FALSE),"Revisar"))</f>
        <v/>
      </c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2">
        <f>IF(COUNTA(B275:B275)+COUNTA(D275:E275)+COUNTA(G275:AJ275)=0,"",IF(COUNTBLANK(B275:B275)+COUNTBLANK(D275:E275)+COUNTBLANK(G275:G275)+COUNTBLANK(O275:AJ275)&gt;0,"Faltan "&amp;(COUNTBLANK(B275:B275)+COUNTBLANK(D275:E275)+COUNTBLANK(G275:G275)+COUNTBLANK(O275:AJ275))&amp;" datos obligatorios",IF(NOT(ISNUMBER(B275)),"Fecha no válida",IF(N(B275)&gt;TODAY(),"Fecha futura",IF(IFERROR(VLOOKUP(E275,LISTAS!$A$2:$C$65,3,FALSE),"")&lt;&gt;D275,"La subregión no corresponde al municipio",IF(IF(L275="",FALSE,OR(L275&lt;0,L275&gt;110)),"Edad fuera de rango",IF((V275="Sí")+(W275="Sí")+(X275="Sí")+(Y275="Sí")=0,"Marque al menos un tipo de violencia","OK")))))))</f>
        <v/>
      </c>
    </row>
    <row r="276">
      <c r="A276" s="12">
        <f>IF(OR(F276="",F276="Revisar",C276=""),"",F276&amp;"-"&amp;C276&amp;"-"&amp;TEXT(COUNTIFS($F$2:F276,F276,$C$2:C276,C276),"0000"))</f>
        <v/>
      </c>
      <c r="B276" s="13" t="n"/>
      <c r="C276" s="12">
        <f>IF(ISNUMBER(B276),YEAR(B276),"")</f>
        <v/>
      </c>
      <c r="D276" s="14" t="n"/>
      <c r="E276" s="14" t="n"/>
      <c r="F276" s="12">
        <f>IF(E276="","",IFERROR(VLOOKUP(E276,LISTAS!$A$2:$C$65,2,FALSE),"Revisar"))</f>
        <v/>
      </c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2">
        <f>IF(COUNTA(B276:B276)+COUNTA(D276:E276)+COUNTA(G276:AJ276)=0,"",IF(COUNTBLANK(B276:B276)+COUNTBLANK(D276:E276)+COUNTBLANK(G276:G276)+COUNTBLANK(O276:AJ276)&gt;0,"Faltan "&amp;(COUNTBLANK(B276:B276)+COUNTBLANK(D276:E276)+COUNTBLANK(G276:G276)+COUNTBLANK(O276:AJ276))&amp;" datos obligatorios",IF(NOT(ISNUMBER(B276)),"Fecha no válida",IF(N(B276)&gt;TODAY(),"Fecha futura",IF(IFERROR(VLOOKUP(E276,LISTAS!$A$2:$C$65,3,FALSE),"")&lt;&gt;D276,"La subregión no corresponde al municipio",IF(IF(L276="",FALSE,OR(L276&lt;0,L276&gt;110)),"Edad fuera de rango",IF((V276="Sí")+(W276="Sí")+(X276="Sí")+(Y276="Sí")=0,"Marque al menos un tipo de violencia","OK")))))))</f>
        <v/>
      </c>
    </row>
    <row r="277">
      <c r="A277" s="12">
        <f>IF(OR(F277="",F277="Revisar",C277=""),"",F277&amp;"-"&amp;C277&amp;"-"&amp;TEXT(COUNTIFS($F$2:F277,F277,$C$2:C277,C277),"0000"))</f>
        <v/>
      </c>
      <c r="B277" s="13" t="n"/>
      <c r="C277" s="12">
        <f>IF(ISNUMBER(B277),YEAR(B277),"")</f>
        <v/>
      </c>
      <c r="D277" s="14" t="n"/>
      <c r="E277" s="14" t="n"/>
      <c r="F277" s="12">
        <f>IF(E277="","",IFERROR(VLOOKUP(E277,LISTAS!$A$2:$C$65,2,FALSE),"Revisar"))</f>
        <v/>
      </c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2">
        <f>IF(COUNTA(B277:B277)+COUNTA(D277:E277)+COUNTA(G277:AJ277)=0,"",IF(COUNTBLANK(B277:B277)+COUNTBLANK(D277:E277)+COUNTBLANK(G277:G277)+COUNTBLANK(O277:AJ277)&gt;0,"Faltan "&amp;(COUNTBLANK(B277:B277)+COUNTBLANK(D277:E277)+COUNTBLANK(G277:G277)+COUNTBLANK(O277:AJ277))&amp;" datos obligatorios",IF(NOT(ISNUMBER(B277)),"Fecha no válida",IF(N(B277)&gt;TODAY(),"Fecha futura",IF(IFERROR(VLOOKUP(E277,LISTAS!$A$2:$C$65,3,FALSE),"")&lt;&gt;D277,"La subregión no corresponde al municipio",IF(IF(L277="",FALSE,OR(L277&lt;0,L277&gt;110)),"Edad fuera de rango",IF((V277="Sí")+(W277="Sí")+(X277="Sí")+(Y277="Sí")=0,"Marque al menos un tipo de violencia","OK")))))))</f>
        <v/>
      </c>
    </row>
    <row r="278">
      <c r="A278" s="12">
        <f>IF(OR(F278="",F278="Revisar",C278=""),"",F278&amp;"-"&amp;C278&amp;"-"&amp;TEXT(COUNTIFS($F$2:F278,F278,$C$2:C278,C278),"0000"))</f>
        <v/>
      </c>
      <c r="B278" s="13" t="n"/>
      <c r="C278" s="12">
        <f>IF(ISNUMBER(B278),YEAR(B278),"")</f>
        <v/>
      </c>
      <c r="D278" s="14" t="n"/>
      <c r="E278" s="14" t="n"/>
      <c r="F278" s="12">
        <f>IF(E278="","",IFERROR(VLOOKUP(E278,LISTAS!$A$2:$C$65,2,FALSE),"Revisar"))</f>
        <v/>
      </c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2">
        <f>IF(COUNTA(B278:B278)+COUNTA(D278:E278)+COUNTA(G278:AJ278)=0,"",IF(COUNTBLANK(B278:B278)+COUNTBLANK(D278:E278)+COUNTBLANK(G278:G278)+COUNTBLANK(O278:AJ278)&gt;0,"Faltan "&amp;(COUNTBLANK(B278:B278)+COUNTBLANK(D278:E278)+COUNTBLANK(G278:G278)+COUNTBLANK(O278:AJ278))&amp;" datos obligatorios",IF(NOT(ISNUMBER(B278)),"Fecha no válida",IF(N(B278)&gt;TODAY(),"Fecha futura",IF(IFERROR(VLOOKUP(E278,LISTAS!$A$2:$C$65,3,FALSE),"")&lt;&gt;D278,"La subregión no corresponde al municipio",IF(IF(L278="",FALSE,OR(L278&lt;0,L278&gt;110)),"Edad fuera de rango",IF((V278="Sí")+(W278="Sí")+(X278="Sí")+(Y278="Sí")=0,"Marque al menos un tipo de violencia","OK")))))))</f>
        <v/>
      </c>
    </row>
    <row r="279">
      <c r="A279" s="12">
        <f>IF(OR(F279="",F279="Revisar",C279=""),"",F279&amp;"-"&amp;C279&amp;"-"&amp;TEXT(COUNTIFS($F$2:F279,F279,$C$2:C279,C279),"0000"))</f>
        <v/>
      </c>
      <c r="B279" s="13" t="n"/>
      <c r="C279" s="12">
        <f>IF(ISNUMBER(B279),YEAR(B279),"")</f>
        <v/>
      </c>
      <c r="D279" s="14" t="n"/>
      <c r="E279" s="14" t="n"/>
      <c r="F279" s="12">
        <f>IF(E279="","",IFERROR(VLOOKUP(E279,LISTAS!$A$2:$C$65,2,FALSE),"Revisar"))</f>
        <v/>
      </c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2">
        <f>IF(COUNTA(B279:B279)+COUNTA(D279:E279)+COUNTA(G279:AJ279)=0,"",IF(COUNTBLANK(B279:B279)+COUNTBLANK(D279:E279)+COUNTBLANK(G279:G279)+COUNTBLANK(O279:AJ279)&gt;0,"Faltan "&amp;(COUNTBLANK(B279:B279)+COUNTBLANK(D279:E279)+COUNTBLANK(G279:G279)+COUNTBLANK(O279:AJ279))&amp;" datos obligatorios",IF(NOT(ISNUMBER(B279)),"Fecha no válida",IF(N(B279)&gt;TODAY(),"Fecha futura",IF(IFERROR(VLOOKUP(E279,LISTAS!$A$2:$C$65,3,FALSE),"")&lt;&gt;D279,"La subregión no corresponde al municipio",IF(IF(L279="",FALSE,OR(L279&lt;0,L279&gt;110)),"Edad fuera de rango",IF((V279="Sí")+(W279="Sí")+(X279="Sí")+(Y279="Sí")=0,"Marque al menos un tipo de violencia","OK")))))))</f>
        <v/>
      </c>
    </row>
    <row r="280">
      <c r="A280" s="12">
        <f>IF(OR(F280="",F280="Revisar",C280=""),"",F280&amp;"-"&amp;C280&amp;"-"&amp;TEXT(COUNTIFS($F$2:F280,F280,$C$2:C280,C280),"0000"))</f>
        <v/>
      </c>
      <c r="B280" s="13" t="n"/>
      <c r="C280" s="12">
        <f>IF(ISNUMBER(B280),YEAR(B280),"")</f>
        <v/>
      </c>
      <c r="D280" s="14" t="n"/>
      <c r="E280" s="14" t="n"/>
      <c r="F280" s="12">
        <f>IF(E280="","",IFERROR(VLOOKUP(E280,LISTAS!$A$2:$C$65,2,FALSE),"Revisar"))</f>
        <v/>
      </c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2">
        <f>IF(COUNTA(B280:B280)+COUNTA(D280:E280)+COUNTA(G280:AJ280)=0,"",IF(COUNTBLANK(B280:B280)+COUNTBLANK(D280:E280)+COUNTBLANK(G280:G280)+COUNTBLANK(O280:AJ280)&gt;0,"Faltan "&amp;(COUNTBLANK(B280:B280)+COUNTBLANK(D280:E280)+COUNTBLANK(G280:G280)+COUNTBLANK(O280:AJ280))&amp;" datos obligatorios",IF(NOT(ISNUMBER(B280)),"Fecha no válida",IF(N(B280)&gt;TODAY(),"Fecha futura",IF(IFERROR(VLOOKUP(E280,LISTAS!$A$2:$C$65,3,FALSE),"")&lt;&gt;D280,"La subregión no corresponde al municipio",IF(IF(L280="",FALSE,OR(L280&lt;0,L280&gt;110)),"Edad fuera de rango",IF((V280="Sí")+(W280="Sí")+(X280="Sí")+(Y280="Sí")=0,"Marque al menos un tipo de violencia","OK")))))))</f>
        <v/>
      </c>
    </row>
    <row r="281">
      <c r="A281" s="12">
        <f>IF(OR(F281="",F281="Revisar",C281=""),"",F281&amp;"-"&amp;C281&amp;"-"&amp;TEXT(COUNTIFS($F$2:F281,F281,$C$2:C281,C281),"0000"))</f>
        <v/>
      </c>
      <c r="B281" s="13" t="n"/>
      <c r="C281" s="12">
        <f>IF(ISNUMBER(B281),YEAR(B281),"")</f>
        <v/>
      </c>
      <c r="D281" s="14" t="n"/>
      <c r="E281" s="14" t="n"/>
      <c r="F281" s="12">
        <f>IF(E281="","",IFERROR(VLOOKUP(E281,LISTAS!$A$2:$C$65,2,FALSE),"Revisar"))</f>
        <v/>
      </c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2">
        <f>IF(COUNTA(B281:B281)+COUNTA(D281:E281)+COUNTA(G281:AJ281)=0,"",IF(COUNTBLANK(B281:B281)+COUNTBLANK(D281:E281)+COUNTBLANK(G281:G281)+COUNTBLANK(O281:AJ281)&gt;0,"Faltan "&amp;(COUNTBLANK(B281:B281)+COUNTBLANK(D281:E281)+COUNTBLANK(G281:G281)+COUNTBLANK(O281:AJ281))&amp;" datos obligatorios",IF(NOT(ISNUMBER(B281)),"Fecha no válida",IF(N(B281)&gt;TODAY(),"Fecha futura",IF(IFERROR(VLOOKUP(E281,LISTAS!$A$2:$C$65,3,FALSE),"")&lt;&gt;D281,"La subregión no corresponde al municipio",IF(IF(L281="",FALSE,OR(L281&lt;0,L281&gt;110)),"Edad fuera de rango",IF((V281="Sí")+(W281="Sí")+(X281="Sí")+(Y281="Sí")=0,"Marque al menos un tipo de violencia","OK")))))))</f>
        <v/>
      </c>
    </row>
    <row r="282">
      <c r="A282" s="12">
        <f>IF(OR(F282="",F282="Revisar",C282=""),"",F282&amp;"-"&amp;C282&amp;"-"&amp;TEXT(COUNTIFS($F$2:F282,F282,$C$2:C282,C282),"0000"))</f>
        <v/>
      </c>
      <c r="B282" s="13" t="n"/>
      <c r="C282" s="12">
        <f>IF(ISNUMBER(B282),YEAR(B282),"")</f>
        <v/>
      </c>
      <c r="D282" s="14" t="n"/>
      <c r="E282" s="14" t="n"/>
      <c r="F282" s="12">
        <f>IF(E282="","",IFERROR(VLOOKUP(E282,LISTAS!$A$2:$C$65,2,FALSE),"Revisar"))</f>
        <v/>
      </c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2">
        <f>IF(COUNTA(B282:B282)+COUNTA(D282:E282)+COUNTA(G282:AJ282)=0,"",IF(COUNTBLANK(B282:B282)+COUNTBLANK(D282:E282)+COUNTBLANK(G282:G282)+COUNTBLANK(O282:AJ282)&gt;0,"Faltan "&amp;(COUNTBLANK(B282:B282)+COUNTBLANK(D282:E282)+COUNTBLANK(G282:G282)+COUNTBLANK(O282:AJ282))&amp;" datos obligatorios",IF(NOT(ISNUMBER(B282)),"Fecha no válida",IF(N(B282)&gt;TODAY(),"Fecha futura",IF(IFERROR(VLOOKUP(E282,LISTAS!$A$2:$C$65,3,FALSE),"")&lt;&gt;D282,"La subregión no corresponde al municipio",IF(IF(L282="",FALSE,OR(L282&lt;0,L282&gt;110)),"Edad fuera de rango",IF((V282="Sí")+(W282="Sí")+(X282="Sí")+(Y282="Sí")=0,"Marque al menos un tipo de violencia","OK")))))))</f>
        <v/>
      </c>
    </row>
    <row r="283">
      <c r="A283" s="12">
        <f>IF(OR(F283="",F283="Revisar",C283=""),"",F283&amp;"-"&amp;C283&amp;"-"&amp;TEXT(COUNTIFS($F$2:F283,F283,$C$2:C283,C283),"0000"))</f>
        <v/>
      </c>
      <c r="B283" s="13" t="n"/>
      <c r="C283" s="12">
        <f>IF(ISNUMBER(B283),YEAR(B283),"")</f>
        <v/>
      </c>
      <c r="D283" s="14" t="n"/>
      <c r="E283" s="14" t="n"/>
      <c r="F283" s="12">
        <f>IF(E283="","",IFERROR(VLOOKUP(E283,LISTAS!$A$2:$C$65,2,FALSE),"Revisar"))</f>
        <v/>
      </c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2">
        <f>IF(COUNTA(B283:B283)+COUNTA(D283:E283)+COUNTA(G283:AJ283)=0,"",IF(COUNTBLANK(B283:B283)+COUNTBLANK(D283:E283)+COUNTBLANK(G283:G283)+COUNTBLANK(O283:AJ283)&gt;0,"Faltan "&amp;(COUNTBLANK(B283:B283)+COUNTBLANK(D283:E283)+COUNTBLANK(G283:G283)+COUNTBLANK(O283:AJ283))&amp;" datos obligatorios",IF(NOT(ISNUMBER(B283)),"Fecha no válida",IF(N(B283)&gt;TODAY(),"Fecha futura",IF(IFERROR(VLOOKUP(E283,LISTAS!$A$2:$C$65,3,FALSE),"")&lt;&gt;D283,"La subregión no corresponde al municipio",IF(IF(L283="",FALSE,OR(L283&lt;0,L283&gt;110)),"Edad fuera de rango",IF((V283="Sí")+(W283="Sí")+(X283="Sí")+(Y283="Sí")=0,"Marque al menos un tipo de violencia","OK")))))))</f>
        <v/>
      </c>
    </row>
    <row r="284">
      <c r="A284" s="12">
        <f>IF(OR(F284="",F284="Revisar",C284=""),"",F284&amp;"-"&amp;C284&amp;"-"&amp;TEXT(COUNTIFS($F$2:F284,F284,$C$2:C284,C284),"0000"))</f>
        <v/>
      </c>
      <c r="B284" s="13" t="n"/>
      <c r="C284" s="12">
        <f>IF(ISNUMBER(B284),YEAR(B284),"")</f>
        <v/>
      </c>
      <c r="D284" s="14" t="n"/>
      <c r="E284" s="14" t="n"/>
      <c r="F284" s="12">
        <f>IF(E284="","",IFERROR(VLOOKUP(E284,LISTAS!$A$2:$C$65,2,FALSE),"Revisar"))</f>
        <v/>
      </c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2">
        <f>IF(COUNTA(B284:B284)+COUNTA(D284:E284)+COUNTA(G284:AJ284)=0,"",IF(COUNTBLANK(B284:B284)+COUNTBLANK(D284:E284)+COUNTBLANK(G284:G284)+COUNTBLANK(O284:AJ284)&gt;0,"Faltan "&amp;(COUNTBLANK(B284:B284)+COUNTBLANK(D284:E284)+COUNTBLANK(G284:G284)+COUNTBLANK(O284:AJ284))&amp;" datos obligatorios",IF(NOT(ISNUMBER(B284)),"Fecha no válida",IF(N(B284)&gt;TODAY(),"Fecha futura",IF(IFERROR(VLOOKUP(E284,LISTAS!$A$2:$C$65,3,FALSE),"")&lt;&gt;D284,"La subregión no corresponde al municipio",IF(IF(L284="",FALSE,OR(L284&lt;0,L284&gt;110)),"Edad fuera de rango",IF((V284="Sí")+(W284="Sí")+(X284="Sí")+(Y284="Sí")=0,"Marque al menos un tipo de violencia","OK")))))))</f>
        <v/>
      </c>
    </row>
    <row r="285">
      <c r="A285" s="12">
        <f>IF(OR(F285="",F285="Revisar",C285=""),"",F285&amp;"-"&amp;C285&amp;"-"&amp;TEXT(COUNTIFS($F$2:F285,F285,$C$2:C285,C285),"0000"))</f>
        <v/>
      </c>
      <c r="B285" s="13" t="n"/>
      <c r="C285" s="12">
        <f>IF(ISNUMBER(B285),YEAR(B285),"")</f>
        <v/>
      </c>
      <c r="D285" s="14" t="n"/>
      <c r="E285" s="14" t="n"/>
      <c r="F285" s="12">
        <f>IF(E285="","",IFERROR(VLOOKUP(E285,LISTAS!$A$2:$C$65,2,FALSE),"Revisar"))</f>
        <v/>
      </c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2">
        <f>IF(COUNTA(B285:B285)+COUNTA(D285:E285)+COUNTA(G285:AJ285)=0,"",IF(COUNTBLANK(B285:B285)+COUNTBLANK(D285:E285)+COUNTBLANK(G285:G285)+COUNTBLANK(O285:AJ285)&gt;0,"Faltan "&amp;(COUNTBLANK(B285:B285)+COUNTBLANK(D285:E285)+COUNTBLANK(G285:G285)+COUNTBLANK(O285:AJ285))&amp;" datos obligatorios",IF(NOT(ISNUMBER(B285)),"Fecha no válida",IF(N(B285)&gt;TODAY(),"Fecha futura",IF(IFERROR(VLOOKUP(E285,LISTAS!$A$2:$C$65,3,FALSE),"")&lt;&gt;D285,"La subregión no corresponde al municipio",IF(IF(L285="",FALSE,OR(L285&lt;0,L285&gt;110)),"Edad fuera de rango",IF((V285="Sí")+(W285="Sí")+(X285="Sí")+(Y285="Sí")=0,"Marque al menos un tipo de violencia","OK")))))))</f>
        <v/>
      </c>
    </row>
    <row r="286">
      <c r="A286" s="12">
        <f>IF(OR(F286="",F286="Revisar",C286=""),"",F286&amp;"-"&amp;C286&amp;"-"&amp;TEXT(COUNTIFS($F$2:F286,F286,$C$2:C286,C286),"0000"))</f>
        <v/>
      </c>
      <c r="B286" s="13" t="n"/>
      <c r="C286" s="12">
        <f>IF(ISNUMBER(B286),YEAR(B286),"")</f>
        <v/>
      </c>
      <c r="D286" s="14" t="n"/>
      <c r="E286" s="14" t="n"/>
      <c r="F286" s="12">
        <f>IF(E286="","",IFERROR(VLOOKUP(E286,LISTAS!$A$2:$C$65,2,FALSE),"Revisar"))</f>
        <v/>
      </c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2">
        <f>IF(COUNTA(B286:B286)+COUNTA(D286:E286)+COUNTA(G286:AJ286)=0,"",IF(COUNTBLANK(B286:B286)+COUNTBLANK(D286:E286)+COUNTBLANK(G286:G286)+COUNTBLANK(O286:AJ286)&gt;0,"Faltan "&amp;(COUNTBLANK(B286:B286)+COUNTBLANK(D286:E286)+COUNTBLANK(G286:G286)+COUNTBLANK(O286:AJ286))&amp;" datos obligatorios",IF(NOT(ISNUMBER(B286)),"Fecha no válida",IF(N(B286)&gt;TODAY(),"Fecha futura",IF(IFERROR(VLOOKUP(E286,LISTAS!$A$2:$C$65,3,FALSE),"")&lt;&gt;D286,"La subregión no corresponde al municipio",IF(IF(L286="",FALSE,OR(L286&lt;0,L286&gt;110)),"Edad fuera de rango",IF((V286="Sí")+(W286="Sí")+(X286="Sí")+(Y286="Sí")=0,"Marque al menos un tipo de violencia","OK")))))))</f>
        <v/>
      </c>
    </row>
    <row r="287">
      <c r="A287" s="12">
        <f>IF(OR(F287="",F287="Revisar",C287=""),"",F287&amp;"-"&amp;C287&amp;"-"&amp;TEXT(COUNTIFS($F$2:F287,F287,$C$2:C287,C287),"0000"))</f>
        <v/>
      </c>
      <c r="B287" s="13" t="n"/>
      <c r="C287" s="12">
        <f>IF(ISNUMBER(B287),YEAR(B287),"")</f>
        <v/>
      </c>
      <c r="D287" s="14" t="n"/>
      <c r="E287" s="14" t="n"/>
      <c r="F287" s="12">
        <f>IF(E287="","",IFERROR(VLOOKUP(E287,LISTAS!$A$2:$C$65,2,FALSE),"Revisar"))</f>
        <v/>
      </c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2">
        <f>IF(COUNTA(B287:B287)+COUNTA(D287:E287)+COUNTA(G287:AJ287)=0,"",IF(COUNTBLANK(B287:B287)+COUNTBLANK(D287:E287)+COUNTBLANK(G287:G287)+COUNTBLANK(O287:AJ287)&gt;0,"Faltan "&amp;(COUNTBLANK(B287:B287)+COUNTBLANK(D287:E287)+COUNTBLANK(G287:G287)+COUNTBLANK(O287:AJ287))&amp;" datos obligatorios",IF(NOT(ISNUMBER(B287)),"Fecha no válida",IF(N(B287)&gt;TODAY(),"Fecha futura",IF(IFERROR(VLOOKUP(E287,LISTAS!$A$2:$C$65,3,FALSE),"")&lt;&gt;D287,"La subregión no corresponde al municipio",IF(IF(L287="",FALSE,OR(L287&lt;0,L287&gt;110)),"Edad fuera de rango",IF((V287="Sí")+(W287="Sí")+(X287="Sí")+(Y287="Sí")=0,"Marque al menos un tipo de violencia","OK")))))))</f>
        <v/>
      </c>
    </row>
    <row r="288">
      <c r="A288" s="12">
        <f>IF(OR(F288="",F288="Revisar",C288=""),"",F288&amp;"-"&amp;C288&amp;"-"&amp;TEXT(COUNTIFS($F$2:F288,F288,$C$2:C288,C288),"0000"))</f>
        <v/>
      </c>
      <c r="B288" s="13" t="n"/>
      <c r="C288" s="12">
        <f>IF(ISNUMBER(B288),YEAR(B288),"")</f>
        <v/>
      </c>
      <c r="D288" s="14" t="n"/>
      <c r="E288" s="14" t="n"/>
      <c r="F288" s="12">
        <f>IF(E288="","",IFERROR(VLOOKUP(E288,LISTAS!$A$2:$C$65,2,FALSE),"Revisar"))</f>
        <v/>
      </c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2">
        <f>IF(COUNTA(B288:B288)+COUNTA(D288:E288)+COUNTA(G288:AJ288)=0,"",IF(COUNTBLANK(B288:B288)+COUNTBLANK(D288:E288)+COUNTBLANK(G288:G288)+COUNTBLANK(O288:AJ288)&gt;0,"Faltan "&amp;(COUNTBLANK(B288:B288)+COUNTBLANK(D288:E288)+COUNTBLANK(G288:G288)+COUNTBLANK(O288:AJ288))&amp;" datos obligatorios",IF(NOT(ISNUMBER(B288)),"Fecha no válida",IF(N(B288)&gt;TODAY(),"Fecha futura",IF(IFERROR(VLOOKUP(E288,LISTAS!$A$2:$C$65,3,FALSE),"")&lt;&gt;D288,"La subregión no corresponde al municipio",IF(IF(L288="",FALSE,OR(L288&lt;0,L288&gt;110)),"Edad fuera de rango",IF((V288="Sí")+(W288="Sí")+(X288="Sí")+(Y288="Sí")=0,"Marque al menos un tipo de violencia","OK")))))))</f>
        <v/>
      </c>
    </row>
    <row r="289">
      <c r="A289" s="12">
        <f>IF(OR(F289="",F289="Revisar",C289=""),"",F289&amp;"-"&amp;C289&amp;"-"&amp;TEXT(COUNTIFS($F$2:F289,F289,$C$2:C289,C289),"0000"))</f>
        <v/>
      </c>
      <c r="B289" s="13" t="n"/>
      <c r="C289" s="12">
        <f>IF(ISNUMBER(B289),YEAR(B289),"")</f>
        <v/>
      </c>
      <c r="D289" s="14" t="n"/>
      <c r="E289" s="14" t="n"/>
      <c r="F289" s="12">
        <f>IF(E289="","",IFERROR(VLOOKUP(E289,LISTAS!$A$2:$C$65,2,FALSE),"Revisar"))</f>
        <v/>
      </c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2">
        <f>IF(COUNTA(B289:B289)+COUNTA(D289:E289)+COUNTA(G289:AJ289)=0,"",IF(COUNTBLANK(B289:B289)+COUNTBLANK(D289:E289)+COUNTBLANK(G289:G289)+COUNTBLANK(O289:AJ289)&gt;0,"Faltan "&amp;(COUNTBLANK(B289:B289)+COUNTBLANK(D289:E289)+COUNTBLANK(G289:G289)+COUNTBLANK(O289:AJ289))&amp;" datos obligatorios",IF(NOT(ISNUMBER(B289)),"Fecha no válida",IF(N(B289)&gt;TODAY(),"Fecha futura",IF(IFERROR(VLOOKUP(E289,LISTAS!$A$2:$C$65,3,FALSE),"")&lt;&gt;D289,"La subregión no corresponde al municipio",IF(IF(L289="",FALSE,OR(L289&lt;0,L289&gt;110)),"Edad fuera de rango",IF((V289="Sí")+(W289="Sí")+(X289="Sí")+(Y289="Sí")=0,"Marque al menos un tipo de violencia","OK")))))))</f>
        <v/>
      </c>
    </row>
    <row r="290">
      <c r="A290" s="12">
        <f>IF(OR(F290="",F290="Revisar",C290=""),"",F290&amp;"-"&amp;C290&amp;"-"&amp;TEXT(COUNTIFS($F$2:F290,F290,$C$2:C290,C290),"0000"))</f>
        <v/>
      </c>
      <c r="B290" s="13" t="n"/>
      <c r="C290" s="12">
        <f>IF(ISNUMBER(B290),YEAR(B290),"")</f>
        <v/>
      </c>
      <c r="D290" s="14" t="n"/>
      <c r="E290" s="14" t="n"/>
      <c r="F290" s="12">
        <f>IF(E290="","",IFERROR(VLOOKUP(E290,LISTAS!$A$2:$C$65,2,FALSE),"Revisar"))</f>
        <v/>
      </c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2">
        <f>IF(COUNTA(B290:B290)+COUNTA(D290:E290)+COUNTA(G290:AJ290)=0,"",IF(COUNTBLANK(B290:B290)+COUNTBLANK(D290:E290)+COUNTBLANK(G290:G290)+COUNTBLANK(O290:AJ290)&gt;0,"Faltan "&amp;(COUNTBLANK(B290:B290)+COUNTBLANK(D290:E290)+COUNTBLANK(G290:G290)+COUNTBLANK(O290:AJ290))&amp;" datos obligatorios",IF(NOT(ISNUMBER(B290)),"Fecha no válida",IF(N(B290)&gt;TODAY(),"Fecha futura",IF(IFERROR(VLOOKUP(E290,LISTAS!$A$2:$C$65,3,FALSE),"")&lt;&gt;D290,"La subregión no corresponde al municipio",IF(IF(L290="",FALSE,OR(L290&lt;0,L290&gt;110)),"Edad fuera de rango",IF((V290="Sí")+(W290="Sí")+(X290="Sí")+(Y290="Sí")=0,"Marque al menos un tipo de violencia","OK")))))))</f>
        <v/>
      </c>
    </row>
    <row r="291">
      <c r="A291" s="12">
        <f>IF(OR(F291="",F291="Revisar",C291=""),"",F291&amp;"-"&amp;C291&amp;"-"&amp;TEXT(COUNTIFS($F$2:F291,F291,$C$2:C291,C291),"0000"))</f>
        <v/>
      </c>
      <c r="B291" s="13" t="n"/>
      <c r="C291" s="12">
        <f>IF(ISNUMBER(B291),YEAR(B291),"")</f>
        <v/>
      </c>
      <c r="D291" s="14" t="n"/>
      <c r="E291" s="14" t="n"/>
      <c r="F291" s="12">
        <f>IF(E291="","",IFERROR(VLOOKUP(E291,LISTAS!$A$2:$C$65,2,FALSE),"Revisar"))</f>
        <v/>
      </c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2">
        <f>IF(COUNTA(B291:B291)+COUNTA(D291:E291)+COUNTA(G291:AJ291)=0,"",IF(COUNTBLANK(B291:B291)+COUNTBLANK(D291:E291)+COUNTBLANK(G291:G291)+COUNTBLANK(O291:AJ291)&gt;0,"Faltan "&amp;(COUNTBLANK(B291:B291)+COUNTBLANK(D291:E291)+COUNTBLANK(G291:G291)+COUNTBLANK(O291:AJ291))&amp;" datos obligatorios",IF(NOT(ISNUMBER(B291)),"Fecha no válida",IF(N(B291)&gt;TODAY(),"Fecha futura",IF(IFERROR(VLOOKUP(E291,LISTAS!$A$2:$C$65,3,FALSE),"")&lt;&gt;D291,"La subregión no corresponde al municipio",IF(IF(L291="",FALSE,OR(L291&lt;0,L291&gt;110)),"Edad fuera de rango",IF((V291="Sí")+(W291="Sí")+(X291="Sí")+(Y291="Sí")=0,"Marque al menos un tipo de violencia","OK")))))))</f>
        <v/>
      </c>
    </row>
    <row r="292">
      <c r="A292" s="12">
        <f>IF(OR(F292="",F292="Revisar",C292=""),"",F292&amp;"-"&amp;C292&amp;"-"&amp;TEXT(COUNTIFS($F$2:F292,F292,$C$2:C292,C292),"0000"))</f>
        <v/>
      </c>
      <c r="B292" s="13" t="n"/>
      <c r="C292" s="12">
        <f>IF(ISNUMBER(B292),YEAR(B292),"")</f>
        <v/>
      </c>
      <c r="D292" s="14" t="n"/>
      <c r="E292" s="14" t="n"/>
      <c r="F292" s="12">
        <f>IF(E292="","",IFERROR(VLOOKUP(E292,LISTAS!$A$2:$C$65,2,FALSE),"Revisar"))</f>
        <v/>
      </c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2">
        <f>IF(COUNTA(B292:B292)+COUNTA(D292:E292)+COUNTA(G292:AJ292)=0,"",IF(COUNTBLANK(B292:B292)+COUNTBLANK(D292:E292)+COUNTBLANK(G292:G292)+COUNTBLANK(O292:AJ292)&gt;0,"Faltan "&amp;(COUNTBLANK(B292:B292)+COUNTBLANK(D292:E292)+COUNTBLANK(G292:G292)+COUNTBLANK(O292:AJ292))&amp;" datos obligatorios",IF(NOT(ISNUMBER(B292)),"Fecha no válida",IF(N(B292)&gt;TODAY(),"Fecha futura",IF(IFERROR(VLOOKUP(E292,LISTAS!$A$2:$C$65,3,FALSE),"")&lt;&gt;D292,"La subregión no corresponde al municipio",IF(IF(L292="",FALSE,OR(L292&lt;0,L292&gt;110)),"Edad fuera de rango",IF((V292="Sí")+(W292="Sí")+(X292="Sí")+(Y292="Sí")=0,"Marque al menos un tipo de violencia","OK")))))))</f>
        <v/>
      </c>
    </row>
    <row r="293">
      <c r="A293" s="12">
        <f>IF(OR(F293="",F293="Revisar",C293=""),"",F293&amp;"-"&amp;C293&amp;"-"&amp;TEXT(COUNTIFS($F$2:F293,F293,$C$2:C293,C293),"0000"))</f>
        <v/>
      </c>
      <c r="B293" s="13" t="n"/>
      <c r="C293" s="12">
        <f>IF(ISNUMBER(B293),YEAR(B293),"")</f>
        <v/>
      </c>
      <c r="D293" s="14" t="n"/>
      <c r="E293" s="14" t="n"/>
      <c r="F293" s="12">
        <f>IF(E293="","",IFERROR(VLOOKUP(E293,LISTAS!$A$2:$C$65,2,FALSE),"Revisar"))</f>
        <v/>
      </c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2">
        <f>IF(COUNTA(B293:B293)+COUNTA(D293:E293)+COUNTA(G293:AJ293)=0,"",IF(COUNTBLANK(B293:B293)+COUNTBLANK(D293:E293)+COUNTBLANK(G293:G293)+COUNTBLANK(O293:AJ293)&gt;0,"Faltan "&amp;(COUNTBLANK(B293:B293)+COUNTBLANK(D293:E293)+COUNTBLANK(G293:G293)+COUNTBLANK(O293:AJ293))&amp;" datos obligatorios",IF(NOT(ISNUMBER(B293)),"Fecha no válida",IF(N(B293)&gt;TODAY(),"Fecha futura",IF(IFERROR(VLOOKUP(E293,LISTAS!$A$2:$C$65,3,FALSE),"")&lt;&gt;D293,"La subregión no corresponde al municipio",IF(IF(L293="",FALSE,OR(L293&lt;0,L293&gt;110)),"Edad fuera de rango",IF((V293="Sí")+(W293="Sí")+(X293="Sí")+(Y293="Sí")=0,"Marque al menos un tipo de violencia","OK")))))))</f>
        <v/>
      </c>
    </row>
    <row r="294">
      <c r="A294" s="12">
        <f>IF(OR(F294="",F294="Revisar",C294=""),"",F294&amp;"-"&amp;C294&amp;"-"&amp;TEXT(COUNTIFS($F$2:F294,F294,$C$2:C294,C294),"0000"))</f>
        <v/>
      </c>
      <c r="B294" s="13" t="n"/>
      <c r="C294" s="12">
        <f>IF(ISNUMBER(B294),YEAR(B294),"")</f>
        <v/>
      </c>
      <c r="D294" s="14" t="n"/>
      <c r="E294" s="14" t="n"/>
      <c r="F294" s="12">
        <f>IF(E294="","",IFERROR(VLOOKUP(E294,LISTAS!$A$2:$C$65,2,FALSE),"Revisar"))</f>
        <v/>
      </c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2">
        <f>IF(COUNTA(B294:B294)+COUNTA(D294:E294)+COUNTA(G294:AJ294)=0,"",IF(COUNTBLANK(B294:B294)+COUNTBLANK(D294:E294)+COUNTBLANK(G294:G294)+COUNTBLANK(O294:AJ294)&gt;0,"Faltan "&amp;(COUNTBLANK(B294:B294)+COUNTBLANK(D294:E294)+COUNTBLANK(G294:G294)+COUNTBLANK(O294:AJ294))&amp;" datos obligatorios",IF(NOT(ISNUMBER(B294)),"Fecha no válida",IF(N(B294)&gt;TODAY(),"Fecha futura",IF(IFERROR(VLOOKUP(E294,LISTAS!$A$2:$C$65,3,FALSE),"")&lt;&gt;D294,"La subregión no corresponde al municipio",IF(IF(L294="",FALSE,OR(L294&lt;0,L294&gt;110)),"Edad fuera de rango",IF((V294="Sí")+(W294="Sí")+(X294="Sí")+(Y294="Sí")=0,"Marque al menos un tipo de violencia","OK")))))))</f>
        <v/>
      </c>
    </row>
    <row r="295">
      <c r="A295" s="12">
        <f>IF(OR(F295="",F295="Revisar",C295=""),"",F295&amp;"-"&amp;C295&amp;"-"&amp;TEXT(COUNTIFS($F$2:F295,F295,$C$2:C295,C295),"0000"))</f>
        <v/>
      </c>
      <c r="B295" s="13" t="n"/>
      <c r="C295" s="12">
        <f>IF(ISNUMBER(B295),YEAR(B295),"")</f>
        <v/>
      </c>
      <c r="D295" s="14" t="n"/>
      <c r="E295" s="14" t="n"/>
      <c r="F295" s="12">
        <f>IF(E295="","",IFERROR(VLOOKUP(E295,LISTAS!$A$2:$C$65,2,FALSE),"Revisar"))</f>
        <v/>
      </c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2">
        <f>IF(COUNTA(B295:B295)+COUNTA(D295:E295)+COUNTA(G295:AJ295)=0,"",IF(COUNTBLANK(B295:B295)+COUNTBLANK(D295:E295)+COUNTBLANK(G295:G295)+COUNTBLANK(O295:AJ295)&gt;0,"Faltan "&amp;(COUNTBLANK(B295:B295)+COUNTBLANK(D295:E295)+COUNTBLANK(G295:G295)+COUNTBLANK(O295:AJ295))&amp;" datos obligatorios",IF(NOT(ISNUMBER(B295)),"Fecha no válida",IF(N(B295)&gt;TODAY(),"Fecha futura",IF(IFERROR(VLOOKUP(E295,LISTAS!$A$2:$C$65,3,FALSE),"")&lt;&gt;D295,"La subregión no corresponde al municipio",IF(IF(L295="",FALSE,OR(L295&lt;0,L295&gt;110)),"Edad fuera de rango",IF((V295="Sí")+(W295="Sí")+(X295="Sí")+(Y295="Sí")=0,"Marque al menos un tipo de violencia","OK")))))))</f>
        <v/>
      </c>
    </row>
    <row r="296">
      <c r="A296" s="12">
        <f>IF(OR(F296="",F296="Revisar",C296=""),"",F296&amp;"-"&amp;C296&amp;"-"&amp;TEXT(COUNTIFS($F$2:F296,F296,$C$2:C296,C296),"0000"))</f>
        <v/>
      </c>
      <c r="B296" s="13" t="n"/>
      <c r="C296" s="12">
        <f>IF(ISNUMBER(B296),YEAR(B296),"")</f>
        <v/>
      </c>
      <c r="D296" s="14" t="n"/>
      <c r="E296" s="14" t="n"/>
      <c r="F296" s="12">
        <f>IF(E296="","",IFERROR(VLOOKUP(E296,LISTAS!$A$2:$C$65,2,FALSE),"Revisar"))</f>
        <v/>
      </c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2">
        <f>IF(COUNTA(B296:B296)+COUNTA(D296:E296)+COUNTA(G296:AJ296)=0,"",IF(COUNTBLANK(B296:B296)+COUNTBLANK(D296:E296)+COUNTBLANK(G296:G296)+COUNTBLANK(O296:AJ296)&gt;0,"Faltan "&amp;(COUNTBLANK(B296:B296)+COUNTBLANK(D296:E296)+COUNTBLANK(G296:G296)+COUNTBLANK(O296:AJ296))&amp;" datos obligatorios",IF(NOT(ISNUMBER(B296)),"Fecha no válida",IF(N(B296)&gt;TODAY(),"Fecha futura",IF(IFERROR(VLOOKUP(E296,LISTAS!$A$2:$C$65,3,FALSE),"")&lt;&gt;D296,"La subregión no corresponde al municipio",IF(IF(L296="",FALSE,OR(L296&lt;0,L296&gt;110)),"Edad fuera de rango",IF((V296="Sí")+(W296="Sí")+(X296="Sí")+(Y296="Sí")=0,"Marque al menos un tipo de violencia","OK")))))))</f>
        <v/>
      </c>
    </row>
    <row r="297">
      <c r="A297" s="12">
        <f>IF(OR(F297="",F297="Revisar",C297=""),"",F297&amp;"-"&amp;C297&amp;"-"&amp;TEXT(COUNTIFS($F$2:F297,F297,$C$2:C297,C297),"0000"))</f>
        <v/>
      </c>
      <c r="B297" s="13" t="n"/>
      <c r="C297" s="12">
        <f>IF(ISNUMBER(B297),YEAR(B297),"")</f>
        <v/>
      </c>
      <c r="D297" s="14" t="n"/>
      <c r="E297" s="14" t="n"/>
      <c r="F297" s="12">
        <f>IF(E297="","",IFERROR(VLOOKUP(E297,LISTAS!$A$2:$C$65,2,FALSE),"Revisar"))</f>
        <v/>
      </c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2">
        <f>IF(COUNTA(B297:B297)+COUNTA(D297:E297)+COUNTA(G297:AJ297)=0,"",IF(COUNTBLANK(B297:B297)+COUNTBLANK(D297:E297)+COUNTBLANK(G297:G297)+COUNTBLANK(O297:AJ297)&gt;0,"Faltan "&amp;(COUNTBLANK(B297:B297)+COUNTBLANK(D297:E297)+COUNTBLANK(G297:G297)+COUNTBLANK(O297:AJ297))&amp;" datos obligatorios",IF(NOT(ISNUMBER(B297)),"Fecha no válida",IF(N(B297)&gt;TODAY(),"Fecha futura",IF(IFERROR(VLOOKUP(E297,LISTAS!$A$2:$C$65,3,FALSE),"")&lt;&gt;D297,"La subregión no corresponde al municipio",IF(IF(L297="",FALSE,OR(L297&lt;0,L297&gt;110)),"Edad fuera de rango",IF((V297="Sí")+(W297="Sí")+(X297="Sí")+(Y297="Sí")=0,"Marque al menos un tipo de violencia","OK")))))))</f>
        <v/>
      </c>
    </row>
    <row r="298">
      <c r="A298" s="12">
        <f>IF(OR(F298="",F298="Revisar",C298=""),"",F298&amp;"-"&amp;C298&amp;"-"&amp;TEXT(COUNTIFS($F$2:F298,F298,$C$2:C298,C298),"0000"))</f>
        <v/>
      </c>
      <c r="B298" s="13" t="n"/>
      <c r="C298" s="12">
        <f>IF(ISNUMBER(B298),YEAR(B298),"")</f>
        <v/>
      </c>
      <c r="D298" s="14" t="n"/>
      <c r="E298" s="14" t="n"/>
      <c r="F298" s="12">
        <f>IF(E298="","",IFERROR(VLOOKUP(E298,LISTAS!$A$2:$C$65,2,FALSE),"Revisar"))</f>
        <v/>
      </c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2">
        <f>IF(COUNTA(B298:B298)+COUNTA(D298:E298)+COUNTA(G298:AJ298)=0,"",IF(COUNTBLANK(B298:B298)+COUNTBLANK(D298:E298)+COUNTBLANK(G298:G298)+COUNTBLANK(O298:AJ298)&gt;0,"Faltan "&amp;(COUNTBLANK(B298:B298)+COUNTBLANK(D298:E298)+COUNTBLANK(G298:G298)+COUNTBLANK(O298:AJ298))&amp;" datos obligatorios",IF(NOT(ISNUMBER(B298)),"Fecha no válida",IF(N(B298)&gt;TODAY(),"Fecha futura",IF(IFERROR(VLOOKUP(E298,LISTAS!$A$2:$C$65,3,FALSE),"")&lt;&gt;D298,"La subregión no corresponde al municipio",IF(IF(L298="",FALSE,OR(L298&lt;0,L298&gt;110)),"Edad fuera de rango",IF((V298="Sí")+(W298="Sí")+(X298="Sí")+(Y298="Sí")=0,"Marque al menos un tipo de violencia","OK")))))))</f>
        <v/>
      </c>
    </row>
    <row r="299">
      <c r="A299" s="12">
        <f>IF(OR(F299="",F299="Revisar",C299=""),"",F299&amp;"-"&amp;C299&amp;"-"&amp;TEXT(COUNTIFS($F$2:F299,F299,$C$2:C299,C299),"0000"))</f>
        <v/>
      </c>
      <c r="B299" s="13" t="n"/>
      <c r="C299" s="12">
        <f>IF(ISNUMBER(B299),YEAR(B299),"")</f>
        <v/>
      </c>
      <c r="D299" s="14" t="n"/>
      <c r="E299" s="14" t="n"/>
      <c r="F299" s="12">
        <f>IF(E299="","",IFERROR(VLOOKUP(E299,LISTAS!$A$2:$C$65,2,FALSE),"Revisar"))</f>
        <v/>
      </c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2">
        <f>IF(COUNTA(B299:B299)+COUNTA(D299:E299)+COUNTA(G299:AJ299)=0,"",IF(COUNTBLANK(B299:B299)+COUNTBLANK(D299:E299)+COUNTBLANK(G299:G299)+COUNTBLANK(O299:AJ299)&gt;0,"Faltan "&amp;(COUNTBLANK(B299:B299)+COUNTBLANK(D299:E299)+COUNTBLANK(G299:G299)+COUNTBLANK(O299:AJ299))&amp;" datos obligatorios",IF(NOT(ISNUMBER(B299)),"Fecha no válida",IF(N(B299)&gt;TODAY(),"Fecha futura",IF(IFERROR(VLOOKUP(E299,LISTAS!$A$2:$C$65,3,FALSE),"")&lt;&gt;D299,"La subregión no corresponde al municipio",IF(IF(L299="",FALSE,OR(L299&lt;0,L299&gt;110)),"Edad fuera de rango",IF((V299="Sí")+(W299="Sí")+(X299="Sí")+(Y299="Sí")=0,"Marque al menos un tipo de violencia","OK")))))))</f>
        <v/>
      </c>
    </row>
    <row r="300">
      <c r="A300" s="12">
        <f>IF(OR(F300="",F300="Revisar",C300=""),"",F300&amp;"-"&amp;C300&amp;"-"&amp;TEXT(COUNTIFS($F$2:F300,F300,$C$2:C300,C300),"0000"))</f>
        <v/>
      </c>
      <c r="B300" s="13" t="n"/>
      <c r="C300" s="12">
        <f>IF(ISNUMBER(B300),YEAR(B300),"")</f>
        <v/>
      </c>
      <c r="D300" s="14" t="n"/>
      <c r="E300" s="14" t="n"/>
      <c r="F300" s="12">
        <f>IF(E300="","",IFERROR(VLOOKUP(E300,LISTAS!$A$2:$C$65,2,FALSE),"Revisar"))</f>
        <v/>
      </c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2">
        <f>IF(COUNTA(B300:B300)+COUNTA(D300:E300)+COUNTA(G300:AJ300)=0,"",IF(COUNTBLANK(B300:B300)+COUNTBLANK(D300:E300)+COUNTBLANK(G300:G300)+COUNTBLANK(O300:AJ300)&gt;0,"Faltan "&amp;(COUNTBLANK(B300:B300)+COUNTBLANK(D300:E300)+COUNTBLANK(G300:G300)+COUNTBLANK(O300:AJ300))&amp;" datos obligatorios",IF(NOT(ISNUMBER(B300)),"Fecha no válida",IF(N(B300)&gt;TODAY(),"Fecha futura",IF(IFERROR(VLOOKUP(E300,LISTAS!$A$2:$C$65,3,FALSE),"")&lt;&gt;D300,"La subregión no corresponde al municipio",IF(IF(L300="",FALSE,OR(L300&lt;0,L300&gt;110)),"Edad fuera de rango",IF((V300="Sí")+(W300="Sí")+(X300="Sí")+(Y300="Sí")=0,"Marque al menos un tipo de violencia","OK")))))))</f>
        <v/>
      </c>
    </row>
    <row r="301">
      <c r="A301" s="12">
        <f>IF(OR(F301="",F301="Revisar",C301=""),"",F301&amp;"-"&amp;C301&amp;"-"&amp;TEXT(COUNTIFS($F$2:F301,F301,$C$2:C301,C301),"0000"))</f>
        <v/>
      </c>
      <c r="B301" s="13" t="n"/>
      <c r="C301" s="12">
        <f>IF(ISNUMBER(B301),YEAR(B301),"")</f>
        <v/>
      </c>
      <c r="D301" s="14" t="n"/>
      <c r="E301" s="14" t="n"/>
      <c r="F301" s="12">
        <f>IF(E301="","",IFERROR(VLOOKUP(E301,LISTAS!$A$2:$C$65,2,FALSE),"Revisar"))</f>
        <v/>
      </c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2">
        <f>IF(COUNTA(B301:B301)+COUNTA(D301:E301)+COUNTA(G301:AJ301)=0,"",IF(COUNTBLANK(B301:B301)+COUNTBLANK(D301:E301)+COUNTBLANK(G301:G301)+COUNTBLANK(O301:AJ301)&gt;0,"Faltan "&amp;(COUNTBLANK(B301:B301)+COUNTBLANK(D301:E301)+COUNTBLANK(G301:G301)+COUNTBLANK(O301:AJ301))&amp;" datos obligatorios",IF(NOT(ISNUMBER(B301)),"Fecha no válida",IF(N(B301)&gt;TODAY(),"Fecha futura",IF(IFERROR(VLOOKUP(E301,LISTAS!$A$2:$C$65,3,FALSE),"")&lt;&gt;D301,"La subregión no corresponde al municipio",IF(IF(L301="",FALSE,OR(L301&lt;0,L301&gt;110)),"Edad fuera de rango",IF((V301="Sí")+(W301="Sí")+(X301="Sí")+(Y301="Sí")=0,"Marque al menos un tipo de violencia","OK")))))))</f>
        <v/>
      </c>
    </row>
    <row r="302">
      <c r="A302" s="12">
        <f>IF(OR(F302="",F302="Revisar",C302=""),"",F302&amp;"-"&amp;C302&amp;"-"&amp;TEXT(COUNTIFS($F$2:F302,F302,$C$2:C302,C302),"0000"))</f>
        <v/>
      </c>
      <c r="B302" s="13" t="n"/>
      <c r="C302" s="12">
        <f>IF(ISNUMBER(B302),YEAR(B302),"")</f>
        <v/>
      </c>
      <c r="D302" s="14" t="n"/>
      <c r="E302" s="14" t="n"/>
      <c r="F302" s="12">
        <f>IF(E302="","",IFERROR(VLOOKUP(E302,LISTAS!$A$2:$C$65,2,FALSE),"Revisar"))</f>
        <v/>
      </c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2">
        <f>IF(COUNTA(B302:B302)+COUNTA(D302:E302)+COUNTA(G302:AJ302)=0,"",IF(COUNTBLANK(B302:B302)+COUNTBLANK(D302:E302)+COUNTBLANK(G302:G302)+COUNTBLANK(O302:AJ302)&gt;0,"Faltan "&amp;(COUNTBLANK(B302:B302)+COUNTBLANK(D302:E302)+COUNTBLANK(G302:G302)+COUNTBLANK(O302:AJ302))&amp;" datos obligatorios",IF(NOT(ISNUMBER(B302)),"Fecha no válida",IF(N(B302)&gt;TODAY(),"Fecha futura",IF(IFERROR(VLOOKUP(E302,LISTAS!$A$2:$C$65,3,FALSE),"")&lt;&gt;D302,"La subregión no corresponde al municipio",IF(IF(L302="",FALSE,OR(L302&lt;0,L302&gt;110)),"Edad fuera de rango",IF((V302="Sí")+(W302="Sí")+(X302="Sí")+(Y302="Sí")=0,"Marque al menos un tipo de violencia","OK")))))))</f>
        <v/>
      </c>
    </row>
    <row r="303">
      <c r="A303" s="12">
        <f>IF(OR(F303="",F303="Revisar",C303=""),"",F303&amp;"-"&amp;C303&amp;"-"&amp;TEXT(COUNTIFS($F$2:F303,F303,$C$2:C303,C303),"0000"))</f>
        <v/>
      </c>
      <c r="B303" s="13" t="n"/>
      <c r="C303" s="12">
        <f>IF(ISNUMBER(B303),YEAR(B303),"")</f>
        <v/>
      </c>
      <c r="D303" s="14" t="n"/>
      <c r="E303" s="14" t="n"/>
      <c r="F303" s="12">
        <f>IF(E303="","",IFERROR(VLOOKUP(E303,LISTAS!$A$2:$C$65,2,FALSE),"Revisar"))</f>
        <v/>
      </c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2">
        <f>IF(COUNTA(B303:B303)+COUNTA(D303:E303)+COUNTA(G303:AJ303)=0,"",IF(COUNTBLANK(B303:B303)+COUNTBLANK(D303:E303)+COUNTBLANK(G303:G303)+COUNTBLANK(O303:AJ303)&gt;0,"Faltan "&amp;(COUNTBLANK(B303:B303)+COUNTBLANK(D303:E303)+COUNTBLANK(G303:G303)+COUNTBLANK(O303:AJ303))&amp;" datos obligatorios",IF(NOT(ISNUMBER(B303)),"Fecha no válida",IF(N(B303)&gt;TODAY(),"Fecha futura",IF(IFERROR(VLOOKUP(E303,LISTAS!$A$2:$C$65,3,FALSE),"")&lt;&gt;D303,"La subregión no corresponde al municipio",IF(IF(L303="",FALSE,OR(L303&lt;0,L303&gt;110)),"Edad fuera de rango",IF((V303="Sí")+(W303="Sí")+(X303="Sí")+(Y303="Sí")=0,"Marque al menos un tipo de violencia","OK")))))))</f>
        <v/>
      </c>
    </row>
    <row r="304">
      <c r="A304" s="12">
        <f>IF(OR(F304="",F304="Revisar",C304=""),"",F304&amp;"-"&amp;C304&amp;"-"&amp;TEXT(COUNTIFS($F$2:F304,F304,$C$2:C304,C304),"0000"))</f>
        <v/>
      </c>
      <c r="B304" s="13" t="n"/>
      <c r="C304" s="12">
        <f>IF(ISNUMBER(B304),YEAR(B304),"")</f>
        <v/>
      </c>
      <c r="D304" s="14" t="n"/>
      <c r="E304" s="14" t="n"/>
      <c r="F304" s="12">
        <f>IF(E304="","",IFERROR(VLOOKUP(E304,LISTAS!$A$2:$C$65,2,FALSE),"Revisar"))</f>
        <v/>
      </c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2">
        <f>IF(COUNTA(B304:B304)+COUNTA(D304:E304)+COUNTA(G304:AJ304)=0,"",IF(COUNTBLANK(B304:B304)+COUNTBLANK(D304:E304)+COUNTBLANK(G304:G304)+COUNTBLANK(O304:AJ304)&gt;0,"Faltan "&amp;(COUNTBLANK(B304:B304)+COUNTBLANK(D304:E304)+COUNTBLANK(G304:G304)+COUNTBLANK(O304:AJ304))&amp;" datos obligatorios",IF(NOT(ISNUMBER(B304)),"Fecha no válida",IF(N(B304)&gt;TODAY(),"Fecha futura",IF(IFERROR(VLOOKUP(E304,LISTAS!$A$2:$C$65,3,FALSE),"")&lt;&gt;D304,"La subregión no corresponde al municipio",IF(IF(L304="",FALSE,OR(L304&lt;0,L304&gt;110)),"Edad fuera de rango",IF((V304="Sí")+(W304="Sí")+(X304="Sí")+(Y304="Sí")=0,"Marque al menos un tipo de violencia","OK")))))))</f>
        <v/>
      </c>
    </row>
    <row r="305">
      <c r="A305" s="12">
        <f>IF(OR(F305="",F305="Revisar",C305=""),"",F305&amp;"-"&amp;C305&amp;"-"&amp;TEXT(COUNTIFS($F$2:F305,F305,$C$2:C305,C305),"0000"))</f>
        <v/>
      </c>
      <c r="B305" s="13" t="n"/>
      <c r="C305" s="12">
        <f>IF(ISNUMBER(B305),YEAR(B305),"")</f>
        <v/>
      </c>
      <c r="D305" s="14" t="n"/>
      <c r="E305" s="14" t="n"/>
      <c r="F305" s="12">
        <f>IF(E305="","",IFERROR(VLOOKUP(E305,LISTAS!$A$2:$C$65,2,FALSE),"Revisar"))</f>
        <v/>
      </c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2">
        <f>IF(COUNTA(B305:B305)+COUNTA(D305:E305)+COUNTA(G305:AJ305)=0,"",IF(COUNTBLANK(B305:B305)+COUNTBLANK(D305:E305)+COUNTBLANK(G305:G305)+COUNTBLANK(O305:AJ305)&gt;0,"Faltan "&amp;(COUNTBLANK(B305:B305)+COUNTBLANK(D305:E305)+COUNTBLANK(G305:G305)+COUNTBLANK(O305:AJ305))&amp;" datos obligatorios",IF(NOT(ISNUMBER(B305)),"Fecha no válida",IF(N(B305)&gt;TODAY(),"Fecha futura",IF(IFERROR(VLOOKUP(E305,LISTAS!$A$2:$C$65,3,FALSE),"")&lt;&gt;D305,"La subregión no corresponde al municipio",IF(IF(L305="",FALSE,OR(L305&lt;0,L305&gt;110)),"Edad fuera de rango",IF((V305="Sí")+(W305="Sí")+(X305="Sí")+(Y305="Sí")=0,"Marque al menos un tipo de violencia","OK")))))))</f>
        <v/>
      </c>
    </row>
    <row r="306">
      <c r="A306" s="12">
        <f>IF(OR(F306="",F306="Revisar",C306=""),"",F306&amp;"-"&amp;C306&amp;"-"&amp;TEXT(COUNTIFS($F$2:F306,F306,$C$2:C306,C306),"0000"))</f>
        <v/>
      </c>
      <c r="B306" s="13" t="n"/>
      <c r="C306" s="12">
        <f>IF(ISNUMBER(B306),YEAR(B306),"")</f>
        <v/>
      </c>
      <c r="D306" s="14" t="n"/>
      <c r="E306" s="14" t="n"/>
      <c r="F306" s="12">
        <f>IF(E306="","",IFERROR(VLOOKUP(E306,LISTAS!$A$2:$C$65,2,FALSE),"Revisar"))</f>
        <v/>
      </c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2">
        <f>IF(COUNTA(B306:B306)+COUNTA(D306:E306)+COUNTA(G306:AJ306)=0,"",IF(COUNTBLANK(B306:B306)+COUNTBLANK(D306:E306)+COUNTBLANK(G306:G306)+COUNTBLANK(O306:AJ306)&gt;0,"Faltan "&amp;(COUNTBLANK(B306:B306)+COUNTBLANK(D306:E306)+COUNTBLANK(G306:G306)+COUNTBLANK(O306:AJ306))&amp;" datos obligatorios",IF(NOT(ISNUMBER(B306)),"Fecha no válida",IF(N(B306)&gt;TODAY(),"Fecha futura",IF(IFERROR(VLOOKUP(E306,LISTAS!$A$2:$C$65,3,FALSE),"")&lt;&gt;D306,"La subregión no corresponde al municipio",IF(IF(L306="",FALSE,OR(L306&lt;0,L306&gt;110)),"Edad fuera de rango",IF((V306="Sí")+(W306="Sí")+(X306="Sí")+(Y306="Sí")=0,"Marque al menos un tipo de violencia","OK")))))))</f>
        <v/>
      </c>
    </row>
    <row r="307">
      <c r="A307" s="12">
        <f>IF(OR(F307="",F307="Revisar",C307=""),"",F307&amp;"-"&amp;C307&amp;"-"&amp;TEXT(COUNTIFS($F$2:F307,F307,$C$2:C307,C307),"0000"))</f>
        <v/>
      </c>
      <c r="B307" s="13" t="n"/>
      <c r="C307" s="12">
        <f>IF(ISNUMBER(B307),YEAR(B307),"")</f>
        <v/>
      </c>
      <c r="D307" s="14" t="n"/>
      <c r="E307" s="14" t="n"/>
      <c r="F307" s="12">
        <f>IF(E307="","",IFERROR(VLOOKUP(E307,LISTAS!$A$2:$C$65,2,FALSE),"Revisar"))</f>
        <v/>
      </c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2">
        <f>IF(COUNTA(B307:B307)+COUNTA(D307:E307)+COUNTA(G307:AJ307)=0,"",IF(COUNTBLANK(B307:B307)+COUNTBLANK(D307:E307)+COUNTBLANK(G307:G307)+COUNTBLANK(O307:AJ307)&gt;0,"Faltan "&amp;(COUNTBLANK(B307:B307)+COUNTBLANK(D307:E307)+COUNTBLANK(G307:G307)+COUNTBLANK(O307:AJ307))&amp;" datos obligatorios",IF(NOT(ISNUMBER(B307)),"Fecha no válida",IF(N(B307)&gt;TODAY(),"Fecha futura",IF(IFERROR(VLOOKUP(E307,LISTAS!$A$2:$C$65,3,FALSE),"")&lt;&gt;D307,"La subregión no corresponde al municipio",IF(IF(L307="",FALSE,OR(L307&lt;0,L307&gt;110)),"Edad fuera de rango",IF((V307="Sí")+(W307="Sí")+(X307="Sí")+(Y307="Sí")=0,"Marque al menos un tipo de violencia","OK")))))))</f>
        <v/>
      </c>
    </row>
    <row r="308">
      <c r="A308" s="12">
        <f>IF(OR(F308="",F308="Revisar",C308=""),"",F308&amp;"-"&amp;C308&amp;"-"&amp;TEXT(COUNTIFS($F$2:F308,F308,$C$2:C308,C308),"0000"))</f>
        <v/>
      </c>
      <c r="B308" s="13" t="n"/>
      <c r="C308" s="12">
        <f>IF(ISNUMBER(B308),YEAR(B308),"")</f>
        <v/>
      </c>
      <c r="D308" s="14" t="n"/>
      <c r="E308" s="14" t="n"/>
      <c r="F308" s="12">
        <f>IF(E308="","",IFERROR(VLOOKUP(E308,LISTAS!$A$2:$C$65,2,FALSE),"Revisar"))</f>
        <v/>
      </c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2">
        <f>IF(COUNTA(B308:B308)+COUNTA(D308:E308)+COUNTA(G308:AJ308)=0,"",IF(COUNTBLANK(B308:B308)+COUNTBLANK(D308:E308)+COUNTBLANK(G308:G308)+COUNTBLANK(O308:AJ308)&gt;0,"Faltan "&amp;(COUNTBLANK(B308:B308)+COUNTBLANK(D308:E308)+COUNTBLANK(G308:G308)+COUNTBLANK(O308:AJ308))&amp;" datos obligatorios",IF(NOT(ISNUMBER(B308)),"Fecha no válida",IF(N(B308)&gt;TODAY(),"Fecha futura",IF(IFERROR(VLOOKUP(E308,LISTAS!$A$2:$C$65,3,FALSE),"")&lt;&gt;D308,"La subregión no corresponde al municipio",IF(IF(L308="",FALSE,OR(L308&lt;0,L308&gt;110)),"Edad fuera de rango",IF((V308="Sí")+(W308="Sí")+(X308="Sí")+(Y308="Sí")=0,"Marque al menos un tipo de violencia","OK")))))))</f>
        <v/>
      </c>
    </row>
    <row r="309">
      <c r="A309" s="12">
        <f>IF(OR(F309="",F309="Revisar",C309=""),"",F309&amp;"-"&amp;C309&amp;"-"&amp;TEXT(COUNTIFS($F$2:F309,F309,$C$2:C309,C309),"0000"))</f>
        <v/>
      </c>
      <c r="B309" s="13" t="n"/>
      <c r="C309" s="12">
        <f>IF(ISNUMBER(B309),YEAR(B309),"")</f>
        <v/>
      </c>
      <c r="D309" s="14" t="n"/>
      <c r="E309" s="14" t="n"/>
      <c r="F309" s="12">
        <f>IF(E309="","",IFERROR(VLOOKUP(E309,LISTAS!$A$2:$C$65,2,FALSE),"Revisar"))</f>
        <v/>
      </c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2">
        <f>IF(COUNTA(B309:B309)+COUNTA(D309:E309)+COUNTA(G309:AJ309)=0,"",IF(COUNTBLANK(B309:B309)+COUNTBLANK(D309:E309)+COUNTBLANK(G309:G309)+COUNTBLANK(O309:AJ309)&gt;0,"Faltan "&amp;(COUNTBLANK(B309:B309)+COUNTBLANK(D309:E309)+COUNTBLANK(G309:G309)+COUNTBLANK(O309:AJ309))&amp;" datos obligatorios",IF(NOT(ISNUMBER(B309)),"Fecha no válida",IF(N(B309)&gt;TODAY(),"Fecha futura",IF(IFERROR(VLOOKUP(E309,LISTAS!$A$2:$C$65,3,FALSE),"")&lt;&gt;D309,"La subregión no corresponde al municipio",IF(IF(L309="",FALSE,OR(L309&lt;0,L309&gt;110)),"Edad fuera de rango",IF((V309="Sí")+(W309="Sí")+(X309="Sí")+(Y309="Sí")=0,"Marque al menos un tipo de violencia","OK")))))))</f>
        <v/>
      </c>
    </row>
    <row r="310">
      <c r="A310" s="12">
        <f>IF(OR(F310="",F310="Revisar",C310=""),"",F310&amp;"-"&amp;C310&amp;"-"&amp;TEXT(COUNTIFS($F$2:F310,F310,$C$2:C310,C310),"0000"))</f>
        <v/>
      </c>
      <c r="B310" s="13" t="n"/>
      <c r="C310" s="12">
        <f>IF(ISNUMBER(B310),YEAR(B310),"")</f>
        <v/>
      </c>
      <c r="D310" s="14" t="n"/>
      <c r="E310" s="14" t="n"/>
      <c r="F310" s="12">
        <f>IF(E310="","",IFERROR(VLOOKUP(E310,LISTAS!$A$2:$C$65,2,FALSE),"Revisar"))</f>
        <v/>
      </c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2">
        <f>IF(COUNTA(B310:B310)+COUNTA(D310:E310)+COUNTA(G310:AJ310)=0,"",IF(COUNTBLANK(B310:B310)+COUNTBLANK(D310:E310)+COUNTBLANK(G310:G310)+COUNTBLANK(O310:AJ310)&gt;0,"Faltan "&amp;(COUNTBLANK(B310:B310)+COUNTBLANK(D310:E310)+COUNTBLANK(G310:G310)+COUNTBLANK(O310:AJ310))&amp;" datos obligatorios",IF(NOT(ISNUMBER(B310)),"Fecha no válida",IF(N(B310)&gt;TODAY(),"Fecha futura",IF(IFERROR(VLOOKUP(E310,LISTAS!$A$2:$C$65,3,FALSE),"")&lt;&gt;D310,"La subregión no corresponde al municipio",IF(IF(L310="",FALSE,OR(L310&lt;0,L310&gt;110)),"Edad fuera de rango",IF((V310="Sí")+(W310="Sí")+(X310="Sí")+(Y310="Sí")=0,"Marque al menos un tipo de violencia","OK")))))))</f>
        <v/>
      </c>
    </row>
    <row r="311">
      <c r="A311" s="12">
        <f>IF(OR(F311="",F311="Revisar",C311=""),"",F311&amp;"-"&amp;C311&amp;"-"&amp;TEXT(COUNTIFS($F$2:F311,F311,$C$2:C311,C311),"0000"))</f>
        <v/>
      </c>
      <c r="B311" s="13" t="n"/>
      <c r="C311" s="12">
        <f>IF(ISNUMBER(B311),YEAR(B311),"")</f>
        <v/>
      </c>
      <c r="D311" s="14" t="n"/>
      <c r="E311" s="14" t="n"/>
      <c r="F311" s="12">
        <f>IF(E311="","",IFERROR(VLOOKUP(E311,LISTAS!$A$2:$C$65,2,FALSE),"Revisar"))</f>
        <v/>
      </c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2">
        <f>IF(COUNTA(B311:B311)+COUNTA(D311:E311)+COUNTA(G311:AJ311)=0,"",IF(COUNTBLANK(B311:B311)+COUNTBLANK(D311:E311)+COUNTBLANK(G311:G311)+COUNTBLANK(O311:AJ311)&gt;0,"Faltan "&amp;(COUNTBLANK(B311:B311)+COUNTBLANK(D311:E311)+COUNTBLANK(G311:G311)+COUNTBLANK(O311:AJ311))&amp;" datos obligatorios",IF(NOT(ISNUMBER(B311)),"Fecha no válida",IF(N(B311)&gt;TODAY(),"Fecha futura",IF(IFERROR(VLOOKUP(E311,LISTAS!$A$2:$C$65,3,FALSE),"")&lt;&gt;D311,"La subregión no corresponde al municipio",IF(IF(L311="",FALSE,OR(L311&lt;0,L311&gt;110)),"Edad fuera de rango",IF((V311="Sí")+(W311="Sí")+(X311="Sí")+(Y311="Sí")=0,"Marque al menos un tipo de violencia","OK")))))))</f>
        <v/>
      </c>
    </row>
    <row r="312">
      <c r="A312" s="12">
        <f>IF(OR(F312="",F312="Revisar",C312=""),"",F312&amp;"-"&amp;C312&amp;"-"&amp;TEXT(COUNTIFS($F$2:F312,F312,$C$2:C312,C312),"0000"))</f>
        <v/>
      </c>
      <c r="B312" s="13" t="n"/>
      <c r="C312" s="12">
        <f>IF(ISNUMBER(B312),YEAR(B312),"")</f>
        <v/>
      </c>
      <c r="D312" s="14" t="n"/>
      <c r="E312" s="14" t="n"/>
      <c r="F312" s="12">
        <f>IF(E312="","",IFERROR(VLOOKUP(E312,LISTAS!$A$2:$C$65,2,FALSE),"Revisar"))</f>
        <v/>
      </c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2">
        <f>IF(COUNTA(B312:B312)+COUNTA(D312:E312)+COUNTA(G312:AJ312)=0,"",IF(COUNTBLANK(B312:B312)+COUNTBLANK(D312:E312)+COUNTBLANK(G312:G312)+COUNTBLANK(O312:AJ312)&gt;0,"Faltan "&amp;(COUNTBLANK(B312:B312)+COUNTBLANK(D312:E312)+COUNTBLANK(G312:G312)+COUNTBLANK(O312:AJ312))&amp;" datos obligatorios",IF(NOT(ISNUMBER(B312)),"Fecha no válida",IF(N(B312)&gt;TODAY(),"Fecha futura",IF(IFERROR(VLOOKUP(E312,LISTAS!$A$2:$C$65,3,FALSE),"")&lt;&gt;D312,"La subregión no corresponde al municipio",IF(IF(L312="",FALSE,OR(L312&lt;0,L312&gt;110)),"Edad fuera de rango",IF((V312="Sí")+(W312="Sí")+(X312="Sí")+(Y312="Sí")=0,"Marque al menos un tipo de violencia","OK")))))))</f>
        <v/>
      </c>
    </row>
    <row r="313">
      <c r="A313" s="12">
        <f>IF(OR(F313="",F313="Revisar",C313=""),"",F313&amp;"-"&amp;C313&amp;"-"&amp;TEXT(COUNTIFS($F$2:F313,F313,$C$2:C313,C313),"0000"))</f>
        <v/>
      </c>
      <c r="B313" s="13" t="n"/>
      <c r="C313" s="12">
        <f>IF(ISNUMBER(B313),YEAR(B313),"")</f>
        <v/>
      </c>
      <c r="D313" s="14" t="n"/>
      <c r="E313" s="14" t="n"/>
      <c r="F313" s="12">
        <f>IF(E313="","",IFERROR(VLOOKUP(E313,LISTAS!$A$2:$C$65,2,FALSE),"Revisar"))</f>
        <v/>
      </c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2">
        <f>IF(COUNTA(B313:B313)+COUNTA(D313:E313)+COUNTA(G313:AJ313)=0,"",IF(COUNTBLANK(B313:B313)+COUNTBLANK(D313:E313)+COUNTBLANK(G313:G313)+COUNTBLANK(O313:AJ313)&gt;0,"Faltan "&amp;(COUNTBLANK(B313:B313)+COUNTBLANK(D313:E313)+COUNTBLANK(G313:G313)+COUNTBLANK(O313:AJ313))&amp;" datos obligatorios",IF(NOT(ISNUMBER(B313)),"Fecha no válida",IF(N(B313)&gt;TODAY(),"Fecha futura",IF(IFERROR(VLOOKUP(E313,LISTAS!$A$2:$C$65,3,FALSE),"")&lt;&gt;D313,"La subregión no corresponde al municipio",IF(IF(L313="",FALSE,OR(L313&lt;0,L313&gt;110)),"Edad fuera de rango",IF((V313="Sí")+(W313="Sí")+(X313="Sí")+(Y313="Sí")=0,"Marque al menos un tipo de violencia","OK")))))))</f>
        <v/>
      </c>
    </row>
    <row r="314">
      <c r="A314" s="12">
        <f>IF(OR(F314="",F314="Revisar",C314=""),"",F314&amp;"-"&amp;C314&amp;"-"&amp;TEXT(COUNTIFS($F$2:F314,F314,$C$2:C314,C314),"0000"))</f>
        <v/>
      </c>
      <c r="B314" s="13" t="n"/>
      <c r="C314" s="12">
        <f>IF(ISNUMBER(B314),YEAR(B314),"")</f>
        <v/>
      </c>
      <c r="D314" s="14" t="n"/>
      <c r="E314" s="14" t="n"/>
      <c r="F314" s="12">
        <f>IF(E314="","",IFERROR(VLOOKUP(E314,LISTAS!$A$2:$C$65,2,FALSE),"Revisar"))</f>
        <v/>
      </c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2">
        <f>IF(COUNTA(B314:B314)+COUNTA(D314:E314)+COUNTA(G314:AJ314)=0,"",IF(COUNTBLANK(B314:B314)+COUNTBLANK(D314:E314)+COUNTBLANK(G314:G314)+COUNTBLANK(O314:AJ314)&gt;0,"Faltan "&amp;(COUNTBLANK(B314:B314)+COUNTBLANK(D314:E314)+COUNTBLANK(G314:G314)+COUNTBLANK(O314:AJ314))&amp;" datos obligatorios",IF(NOT(ISNUMBER(B314)),"Fecha no válida",IF(N(B314)&gt;TODAY(),"Fecha futura",IF(IFERROR(VLOOKUP(E314,LISTAS!$A$2:$C$65,3,FALSE),"")&lt;&gt;D314,"La subregión no corresponde al municipio",IF(IF(L314="",FALSE,OR(L314&lt;0,L314&gt;110)),"Edad fuera de rango",IF((V314="Sí")+(W314="Sí")+(X314="Sí")+(Y314="Sí")=0,"Marque al menos un tipo de violencia","OK")))))))</f>
        <v/>
      </c>
    </row>
    <row r="315">
      <c r="A315" s="12">
        <f>IF(OR(F315="",F315="Revisar",C315=""),"",F315&amp;"-"&amp;C315&amp;"-"&amp;TEXT(COUNTIFS($F$2:F315,F315,$C$2:C315,C315),"0000"))</f>
        <v/>
      </c>
      <c r="B315" s="13" t="n"/>
      <c r="C315" s="12">
        <f>IF(ISNUMBER(B315),YEAR(B315),"")</f>
        <v/>
      </c>
      <c r="D315" s="14" t="n"/>
      <c r="E315" s="14" t="n"/>
      <c r="F315" s="12">
        <f>IF(E315="","",IFERROR(VLOOKUP(E315,LISTAS!$A$2:$C$65,2,FALSE),"Revisar"))</f>
        <v/>
      </c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2">
        <f>IF(COUNTA(B315:B315)+COUNTA(D315:E315)+COUNTA(G315:AJ315)=0,"",IF(COUNTBLANK(B315:B315)+COUNTBLANK(D315:E315)+COUNTBLANK(G315:G315)+COUNTBLANK(O315:AJ315)&gt;0,"Faltan "&amp;(COUNTBLANK(B315:B315)+COUNTBLANK(D315:E315)+COUNTBLANK(G315:G315)+COUNTBLANK(O315:AJ315))&amp;" datos obligatorios",IF(NOT(ISNUMBER(B315)),"Fecha no válida",IF(N(B315)&gt;TODAY(),"Fecha futura",IF(IFERROR(VLOOKUP(E315,LISTAS!$A$2:$C$65,3,FALSE),"")&lt;&gt;D315,"La subregión no corresponde al municipio",IF(IF(L315="",FALSE,OR(L315&lt;0,L315&gt;110)),"Edad fuera de rango",IF((V315="Sí")+(W315="Sí")+(X315="Sí")+(Y315="Sí")=0,"Marque al menos un tipo de violencia","OK")))))))</f>
        <v/>
      </c>
    </row>
    <row r="316">
      <c r="A316" s="12">
        <f>IF(OR(F316="",F316="Revisar",C316=""),"",F316&amp;"-"&amp;C316&amp;"-"&amp;TEXT(COUNTIFS($F$2:F316,F316,$C$2:C316,C316),"0000"))</f>
        <v/>
      </c>
      <c r="B316" s="13" t="n"/>
      <c r="C316" s="12">
        <f>IF(ISNUMBER(B316),YEAR(B316),"")</f>
        <v/>
      </c>
      <c r="D316" s="14" t="n"/>
      <c r="E316" s="14" t="n"/>
      <c r="F316" s="12">
        <f>IF(E316="","",IFERROR(VLOOKUP(E316,LISTAS!$A$2:$C$65,2,FALSE),"Revisar"))</f>
        <v/>
      </c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2">
        <f>IF(COUNTA(B316:B316)+COUNTA(D316:E316)+COUNTA(G316:AJ316)=0,"",IF(COUNTBLANK(B316:B316)+COUNTBLANK(D316:E316)+COUNTBLANK(G316:G316)+COUNTBLANK(O316:AJ316)&gt;0,"Faltan "&amp;(COUNTBLANK(B316:B316)+COUNTBLANK(D316:E316)+COUNTBLANK(G316:G316)+COUNTBLANK(O316:AJ316))&amp;" datos obligatorios",IF(NOT(ISNUMBER(B316)),"Fecha no válida",IF(N(B316)&gt;TODAY(),"Fecha futura",IF(IFERROR(VLOOKUP(E316,LISTAS!$A$2:$C$65,3,FALSE),"")&lt;&gt;D316,"La subregión no corresponde al municipio",IF(IF(L316="",FALSE,OR(L316&lt;0,L316&gt;110)),"Edad fuera de rango",IF((V316="Sí")+(W316="Sí")+(X316="Sí")+(Y316="Sí")=0,"Marque al menos un tipo de violencia","OK")))))))</f>
        <v/>
      </c>
    </row>
    <row r="317">
      <c r="A317" s="12">
        <f>IF(OR(F317="",F317="Revisar",C317=""),"",F317&amp;"-"&amp;C317&amp;"-"&amp;TEXT(COUNTIFS($F$2:F317,F317,$C$2:C317,C317),"0000"))</f>
        <v/>
      </c>
      <c r="B317" s="13" t="n"/>
      <c r="C317" s="12">
        <f>IF(ISNUMBER(B317),YEAR(B317),"")</f>
        <v/>
      </c>
      <c r="D317" s="14" t="n"/>
      <c r="E317" s="14" t="n"/>
      <c r="F317" s="12">
        <f>IF(E317="","",IFERROR(VLOOKUP(E317,LISTAS!$A$2:$C$65,2,FALSE),"Revisar"))</f>
        <v/>
      </c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2">
        <f>IF(COUNTA(B317:B317)+COUNTA(D317:E317)+COUNTA(G317:AJ317)=0,"",IF(COUNTBLANK(B317:B317)+COUNTBLANK(D317:E317)+COUNTBLANK(G317:G317)+COUNTBLANK(O317:AJ317)&gt;0,"Faltan "&amp;(COUNTBLANK(B317:B317)+COUNTBLANK(D317:E317)+COUNTBLANK(G317:G317)+COUNTBLANK(O317:AJ317))&amp;" datos obligatorios",IF(NOT(ISNUMBER(B317)),"Fecha no válida",IF(N(B317)&gt;TODAY(),"Fecha futura",IF(IFERROR(VLOOKUP(E317,LISTAS!$A$2:$C$65,3,FALSE),"")&lt;&gt;D317,"La subregión no corresponde al municipio",IF(IF(L317="",FALSE,OR(L317&lt;0,L317&gt;110)),"Edad fuera de rango",IF((V317="Sí")+(W317="Sí")+(X317="Sí")+(Y317="Sí")=0,"Marque al menos un tipo de violencia","OK")))))))</f>
        <v/>
      </c>
    </row>
    <row r="318">
      <c r="A318" s="12">
        <f>IF(OR(F318="",F318="Revisar",C318=""),"",F318&amp;"-"&amp;C318&amp;"-"&amp;TEXT(COUNTIFS($F$2:F318,F318,$C$2:C318,C318),"0000"))</f>
        <v/>
      </c>
      <c r="B318" s="13" t="n"/>
      <c r="C318" s="12">
        <f>IF(ISNUMBER(B318),YEAR(B318),"")</f>
        <v/>
      </c>
      <c r="D318" s="14" t="n"/>
      <c r="E318" s="14" t="n"/>
      <c r="F318" s="12">
        <f>IF(E318="","",IFERROR(VLOOKUP(E318,LISTAS!$A$2:$C$65,2,FALSE),"Revisar"))</f>
        <v/>
      </c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2">
        <f>IF(COUNTA(B318:B318)+COUNTA(D318:E318)+COUNTA(G318:AJ318)=0,"",IF(COUNTBLANK(B318:B318)+COUNTBLANK(D318:E318)+COUNTBLANK(G318:G318)+COUNTBLANK(O318:AJ318)&gt;0,"Faltan "&amp;(COUNTBLANK(B318:B318)+COUNTBLANK(D318:E318)+COUNTBLANK(G318:G318)+COUNTBLANK(O318:AJ318))&amp;" datos obligatorios",IF(NOT(ISNUMBER(B318)),"Fecha no válida",IF(N(B318)&gt;TODAY(),"Fecha futura",IF(IFERROR(VLOOKUP(E318,LISTAS!$A$2:$C$65,3,FALSE),"")&lt;&gt;D318,"La subregión no corresponde al municipio",IF(IF(L318="",FALSE,OR(L318&lt;0,L318&gt;110)),"Edad fuera de rango",IF((V318="Sí")+(W318="Sí")+(X318="Sí")+(Y318="Sí")=0,"Marque al menos un tipo de violencia","OK")))))))</f>
        <v/>
      </c>
    </row>
    <row r="319">
      <c r="A319" s="12">
        <f>IF(OR(F319="",F319="Revisar",C319=""),"",F319&amp;"-"&amp;C319&amp;"-"&amp;TEXT(COUNTIFS($F$2:F319,F319,$C$2:C319,C319),"0000"))</f>
        <v/>
      </c>
      <c r="B319" s="13" t="n"/>
      <c r="C319" s="12">
        <f>IF(ISNUMBER(B319),YEAR(B319),"")</f>
        <v/>
      </c>
      <c r="D319" s="14" t="n"/>
      <c r="E319" s="14" t="n"/>
      <c r="F319" s="12">
        <f>IF(E319="","",IFERROR(VLOOKUP(E319,LISTAS!$A$2:$C$65,2,FALSE),"Revisar"))</f>
        <v/>
      </c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2">
        <f>IF(COUNTA(B319:B319)+COUNTA(D319:E319)+COUNTA(G319:AJ319)=0,"",IF(COUNTBLANK(B319:B319)+COUNTBLANK(D319:E319)+COUNTBLANK(G319:G319)+COUNTBLANK(O319:AJ319)&gt;0,"Faltan "&amp;(COUNTBLANK(B319:B319)+COUNTBLANK(D319:E319)+COUNTBLANK(G319:G319)+COUNTBLANK(O319:AJ319))&amp;" datos obligatorios",IF(NOT(ISNUMBER(B319)),"Fecha no válida",IF(N(B319)&gt;TODAY(),"Fecha futura",IF(IFERROR(VLOOKUP(E319,LISTAS!$A$2:$C$65,3,FALSE),"")&lt;&gt;D319,"La subregión no corresponde al municipio",IF(IF(L319="",FALSE,OR(L319&lt;0,L319&gt;110)),"Edad fuera de rango",IF((V319="Sí")+(W319="Sí")+(X319="Sí")+(Y319="Sí")=0,"Marque al menos un tipo de violencia","OK")))))))</f>
        <v/>
      </c>
    </row>
    <row r="320">
      <c r="A320" s="12">
        <f>IF(OR(F320="",F320="Revisar",C320=""),"",F320&amp;"-"&amp;C320&amp;"-"&amp;TEXT(COUNTIFS($F$2:F320,F320,$C$2:C320,C320),"0000"))</f>
        <v/>
      </c>
      <c r="B320" s="13" t="n"/>
      <c r="C320" s="12">
        <f>IF(ISNUMBER(B320),YEAR(B320),"")</f>
        <v/>
      </c>
      <c r="D320" s="14" t="n"/>
      <c r="E320" s="14" t="n"/>
      <c r="F320" s="12">
        <f>IF(E320="","",IFERROR(VLOOKUP(E320,LISTAS!$A$2:$C$65,2,FALSE),"Revisar"))</f>
        <v/>
      </c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2">
        <f>IF(COUNTA(B320:B320)+COUNTA(D320:E320)+COUNTA(G320:AJ320)=0,"",IF(COUNTBLANK(B320:B320)+COUNTBLANK(D320:E320)+COUNTBLANK(G320:G320)+COUNTBLANK(O320:AJ320)&gt;0,"Faltan "&amp;(COUNTBLANK(B320:B320)+COUNTBLANK(D320:E320)+COUNTBLANK(G320:G320)+COUNTBLANK(O320:AJ320))&amp;" datos obligatorios",IF(NOT(ISNUMBER(B320)),"Fecha no válida",IF(N(B320)&gt;TODAY(),"Fecha futura",IF(IFERROR(VLOOKUP(E320,LISTAS!$A$2:$C$65,3,FALSE),"")&lt;&gt;D320,"La subregión no corresponde al municipio",IF(IF(L320="",FALSE,OR(L320&lt;0,L320&gt;110)),"Edad fuera de rango",IF((V320="Sí")+(W320="Sí")+(X320="Sí")+(Y320="Sí")=0,"Marque al menos un tipo de violencia","OK")))))))</f>
        <v/>
      </c>
    </row>
    <row r="321">
      <c r="A321" s="12">
        <f>IF(OR(F321="",F321="Revisar",C321=""),"",F321&amp;"-"&amp;C321&amp;"-"&amp;TEXT(COUNTIFS($F$2:F321,F321,$C$2:C321,C321),"0000"))</f>
        <v/>
      </c>
      <c r="B321" s="13" t="n"/>
      <c r="C321" s="12">
        <f>IF(ISNUMBER(B321),YEAR(B321),"")</f>
        <v/>
      </c>
      <c r="D321" s="14" t="n"/>
      <c r="E321" s="14" t="n"/>
      <c r="F321" s="12">
        <f>IF(E321="","",IFERROR(VLOOKUP(E321,LISTAS!$A$2:$C$65,2,FALSE),"Revisar"))</f>
        <v/>
      </c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2">
        <f>IF(COUNTA(B321:B321)+COUNTA(D321:E321)+COUNTA(G321:AJ321)=0,"",IF(COUNTBLANK(B321:B321)+COUNTBLANK(D321:E321)+COUNTBLANK(G321:G321)+COUNTBLANK(O321:AJ321)&gt;0,"Faltan "&amp;(COUNTBLANK(B321:B321)+COUNTBLANK(D321:E321)+COUNTBLANK(G321:G321)+COUNTBLANK(O321:AJ321))&amp;" datos obligatorios",IF(NOT(ISNUMBER(B321)),"Fecha no válida",IF(N(B321)&gt;TODAY(),"Fecha futura",IF(IFERROR(VLOOKUP(E321,LISTAS!$A$2:$C$65,3,FALSE),"")&lt;&gt;D321,"La subregión no corresponde al municipio",IF(IF(L321="",FALSE,OR(L321&lt;0,L321&gt;110)),"Edad fuera de rango",IF((V321="Sí")+(W321="Sí")+(X321="Sí")+(Y321="Sí")=0,"Marque al menos un tipo de violencia","OK")))))))</f>
        <v/>
      </c>
    </row>
    <row r="322">
      <c r="A322" s="12">
        <f>IF(OR(F322="",F322="Revisar",C322=""),"",F322&amp;"-"&amp;C322&amp;"-"&amp;TEXT(COUNTIFS($F$2:F322,F322,$C$2:C322,C322),"0000"))</f>
        <v/>
      </c>
      <c r="B322" s="13" t="n"/>
      <c r="C322" s="12">
        <f>IF(ISNUMBER(B322),YEAR(B322),"")</f>
        <v/>
      </c>
      <c r="D322" s="14" t="n"/>
      <c r="E322" s="14" t="n"/>
      <c r="F322" s="12">
        <f>IF(E322="","",IFERROR(VLOOKUP(E322,LISTAS!$A$2:$C$65,2,FALSE),"Revisar"))</f>
        <v/>
      </c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2">
        <f>IF(COUNTA(B322:B322)+COUNTA(D322:E322)+COUNTA(G322:AJ322)=0,"",IF(COUNTBLANK(B322:B322)+COUNTBLANK(D322:E322)+COUNTBLANK(G322:G322)+COUNTBLANK(O322:AJ322)&gt;0,"Faltan "&amp;(COUNTBLANK(B322:B322)+COUNTBLANK(D322:E322)+COUNTBLANK(G322:G322)+COUNTBLANK(O322:AJ322))&amp;" datos obligatorios",IF(NOT(ISNUMBER(B322)),"Fecha no válida",IF(N(B322)&gt;TODAY(),"Fecha futura",IF(IFERROR(VLOOKUP(E322,LISTAS!$A$2:$C$65,3,FALSE),"")&lt;&gt;D322,"La subregión no corresponde al municipio",IF(IF(L322="",FALSE,OR(L322&lt;0,L322&gt;110)),"Edad fuera de rango",IF((V322="Sí")+(W322="Sí")+(X322="Sí")+(Y322="Sí")=0,"Marque al menos un tipo de violencia","OK")))))))</f>
        <v/>
      </c>
    </row>
    <row r="323">
      <c r="A323" s="12">
        <f>IF(OR(F323="",F323="Revisar",C323=""),"",F323&amp;"-"&amp;C323&amp;"-"&amp;TEXT(COUNTIFS($F$2:F323,F323,$C$2:C323,C323),"0000"))</f>
        <v/>
      </c>
      <c r="B323" s="13" t="n"/>
      <c r="C323" s="12">
        <f>IF(ISNUMBER(B323),YEAR(B323),"")</f>
        <v/>
      </c>
      <c r="D323" s="14" t="n"/>
      <c r="E323" s="14" t="n"/>
      <c r="F323" s="12">
        <f>IF(E323="","",IFERROR(VLOOKUP(E323,LISTAS!$A$2:$C$65,2,FALSE),"Revisar"))</f>
        <v/>
      </c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2">
        <f>IF(COUNTA(B323:B323)+COUNTA(D323:E323)+COUNTA(G323:AJ323)=0,"",IF(COUNTBLANK(B323:B323)+COUNTBLANK(D323:E323)+COUNTBLANK(G323:G323)+COUNTBLANK(O323:AJ323)&gt;0,"Faltan "&amp;(COUNTBLANK(B323:B323)+COUNTBLANK(D323:E323)+COUNTBLANK(G323:G323)+COUNTBLANK(O323:AJ323))&amp;" datos obligatorios",IF(NOT(ISNUMBER(B323)),"Fecha no válida",IF(N(B323)&gt;TODAY(),"Fecha futura",IF(IFERROR(VLOOKUP(E323,LISTAS!$A$2:$C$65,3,FALSE),"")&lt;&gt;D323,"La subregión no corresponde al municipio",IF(IF(L323="",FALSE,OR(L323&lt;0,L323&gt;110)),"Edad fuera de rango",IF((V323="Sí")+(W323="Sí")+(X323="Sí")+(Y323="Sí")=0,"Marque al menos un tipo de violencia","OK")))))))</f>
        <v/>
      </c>
    </row>
    <row r="324">
      <c r="A324" s="12">
        <f>IF(OR(F324="",F324="Revisar",C324=""),"",F324&amp;"-"&amp;C324&amp;"-"&amp;TEXT(COUNTIFS($F$2:F324,F324,$C$2:C324,C324),"0000"))</f>
        <v/>
      </c>
      <c r="B324" s="13" t="n"/>
      <c r="C324" s="12">
        <f>IF(ISNUMBER(B324),YEAR(B324),"")</f>
        <v/>
      </c>
      <c r="D324" s="14" t="n"/>
      <c r="E324" s="14" t="n"/>
      <c r="F324" s="12">
        <f>IF(E324="","",IFERROR(VLOOKUP(E324,LISTAS!$A$2:$C$65,2,FALSE),"Revisar"))</f>
        <v/>
      </c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2">
        <f>IF(COUNTA(B324:B324)+COUNTA(D324:E324)+COUNTA(G324:AJ324)=0,"",IF(COUNTBLANK(B324:B324)+COUNTBLANK(D324:E324)+COUNTBLANK(G324:G324)+COUNTBLANK(O324:AJ324)&gt;0,"Faltan "&amp;(COUNTBLANK(B324:B324)+COUNTBLANK(D324:E324)+COUNTBLANK(G324:G324)+COUNTBLANK(O324:AJ324))&amp;" datos obligatorios",IF(NOT(ISNUMBER(B324)),"Fecha no válida",IF(N(B324)&gt;TODAY(),"Fecha futura",IF(IFERROR(VLOOKUP(E324,LISTAS!$A$2:$C$65,3,FALSE),"")&lt;&gt;D324,"La subregión no corresponde al municipio",IF(IF(L324="",FALSE,OR(L324&lt;0,L324&gt;110)),"Edad fuera de rango",IF((V324="Sí")+(W324="Sí")+(X324="Sí")+(Y324="Sí")=0,"Marque al menos un tipo de violencia","OK")))))))</f>
        <v/>
      </c>
    </row>
    <row r="325">
      <c r="A325" s="12">
        <f>IF(OR(F325="",F325="Revisar",C325=""),"",F325&amp;"-"&amp;C325&amp;"-"&amp;TEXT(COUNTIFS($F$2:F325,F325,$C$2:C325,C325),"0000"))</f>
        <v/>
      </c>
      <c r="B325" s="13" t="n"/>
      <c r="C325" s="12">
        <f>IF(ISNUMBER(B325),YEAR(B325),"")</f>
        <v/>
      </c>
      <c r="D325" s="14" t="n"/>
      <c r="E325" s="14" t="n"/>
      <c r="F325" s="12">
        <f>IF(E325="","",IFERROR(VLOOKUP(E325,LISTAS!$A$2:$C$65,2,FALSE),"Revisar"))</f>
        <v/>
      </c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2">
        <f>IF(COUNTA(B325:B325)+COUNTA(D325:E325)+COUNTA(G325:AJ325)=0,"",IF(COUNTBLANK(B325:B325)+COUNTBLANK(D325:E325)+COUNTBLANK(G325:G325)+COUNTBLANK(O325:AJ325)&gt;0,"Faltan "&amp;(COUNTBLANK(B325:B325)+COUNTBLANK(D325:E325)+COUNTBLANK(G325:G325)+COUNTBLANK(O325:AJ325))&amp;" datos obligatorios",IF(NOT(ISNUMBER(B325)),"Fecha no válida",IF(N(B325)&gt;TODAY(),"Fecha futura",IF(IFERROR(VLOOKUP(E325,LISTAS!$A$2:$C$65,3,FALSE),"")&lt;&gt;D325,"La subregión no corresponde al municipio",IF(IF(L325="",FALSE,OR(L325&lt;0,L325&gt;110)),"Edad fuera de rango",IF((V325="Sí")+(W325="Sí")+(X325="Sí")+(Y325="Sí")=0,"Marque al menos un tipo de violencia","OK")))))))</f>
        <v/>
      </c>
    </row>
    <row r="326">
      <c r="A326" s="12">
        <f>IF(OR(F326="",F326="Revisar",C326=""),"",F326&amp;"-"&amp;C326&amp;"-"&amp;TEXT(COUNTIFS($F$2:F326,F326,$C$2:C326,C326),"0000"))</f>
        <v/>
      </c>
      <c r="B326" s="13" t="n"/>
      <c r="C326" s="12">
        <f>IF(ISNUMBER(B326),YEAR(B326),"")</f>
        <v/>
      </c>
      <c r="D326" s="14" t="n"/>
      <c r="E326" s="14" t="n"/>
      <c r="F326" s="12">
        <f>IF(E326="","",IFERROR(VLOOKUP(E326,LISTAS!$A$2:$C$65,2,FALSE),"Revisar"))</f>
        <v/>
      </c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2">
        <f>IF(COUNTA(B326:B326)+COUNTA(D326:E326)+COUNTA(G326:AJ326)=0,"",IF(COUNTBLANK(B326:B326)+COUNTBLANK(D326:E326)+COUNTBLANK(G326:G326)+COUNTBLANK(O326:AJ326)&gt;0,"Faltan "&amp;(COUNTBLANK(B326:B326)+COUNTBLANK(D326:E326)+COUNTBLANK(G326:G326)+COUNTBLANK(O326:AJ326))&amp;" datos obligatorios",IF(NOT(ISNUMBER(B326)),"Fecha no válida",IF(N(B326)&gt;TODAY(),"Fecha futura",IF(IFERROR(VLOOKUP(E326,LISTAS!$A$2:$C$65,3,FALSE),"")&lt;&gt;D326,"La subregión no corresponde al municipio",IF(IF(L326="",FALSE,OR(L326&lt;0,L326&gt;110)),"Edad fuera de rango",IF((V326="Sí")+(W326="Sí")+(X326="Sí")+(Y326="Sí")=0,"Marque al menos un tipo de violencia","OK")))))))</f>
        <v/>
      </c>
    </row>
    <row r="327">
      <c r="A327" s="12">
        <f>IF(OR(F327="",F327="Revisar",C327=""),"",F327&amp;"-"&amp;C327&amp;"-"&amp;TEXT(COUNTIFS($F$2:F327,F327,$C$2:C327,C327),"0000"))</f>
        <v/>
      </c>
      <c r="B327" s="13" t="n"/>
      <c r="C327" s="12">
        <f>IF(ISNUMBER(B327),YEAR(B327),"")</f>
        <v/>
      </c>
      <c r="D327" s="14" t="n"/>
      <c r="E327" s="14" t="n"/>
      <c r="F327" s="12">
        <f>IF(E327="","",IFERROR(VLOOKUP(E327,LISTAS!$A$2:$C$65,2,FALSE),"Revisar"))</f>
        <v/>
      </c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2">
        <f>IF(COUNTA(B327:B327)+COUNTA(D327:E327)+COUNTA(G327:AJ327)=0,"",IF(COUNTBLANK(B327:B327)+COUNTBLANK(D327:E327)+COUNTBLANK(G327:G327)+COUNTBLANK(O327:AJ327)&gt;0,"Faltan "&amp;(COUNTBLANK(B327:B327)+COUNTBLANK(D327:E327)+COUNTBLANK(G327:G327)+COUNTBLANK(O327:AJ327))&amp;" datos obligatorios",IF(NOT(ISNUMBER(B327)),"Fecha no válida",IF(N(B327)&gt;TODAY(),"Fecha futura",IF(IFERROR(VLOOKUP(E327,LISTAS!$A$2:$C$65,3,FALSE),"")&lt;&gt;D327,"La subregión no corresponde al municipio",IF(IF(L327="",FALSE,OR(L327&lt;0,L327&gt;110)),"Edad fuera de rango",IF((V327="Sí")+(W327="Sí")+(X327="Sí")+(Y327="Sí")=0,"Marque al menos un tipo de violencia","OK")))))))</f>
        <v/>
      </c>
    </row>
    <row r="328">
      <c r="A328" s="12">
        <f>IF(OR(F328="",F328="Revisar",C328=""),"",F328&amp;"-"&amp;C328&amp;"-"&amp;TEXT(COUNTIFS($F$2:F328,F328,$C$2:C328,C328),"0000"))</f>
        <v/>
      </c>
      <c r="B328" s="13" t="n"/>
      <c r="C328" s="12">
        <f>IF(ISNUMBER(B328),YEAR(B328),"")</f>
        <v/>
      </c>
      <c r="D328" s="14" t="n"/>
      <c r="E328" s="14" t="n"/>
      <c r="F328" s="12">
        <f>IF(E328="","",IFERROR(VLOOKUP(E328,LISTAS!$A$2:$C$65,2,FALSE),"Revisar"))</f>
        <v/>
      </c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2">
        <f>IF(COUNTA(B328:B328)+COUNTA(D328:E328)+COUNTA(G328:AJ328)=0,"",IF(COUNTBLANK(B328:B328)+COUNTBLANK(D328:E328)+COUNTBLANK(G328:G328)+COUNTBLANK(O328:AJ328)&gt;0,"Faltan "&amp;(COUNTBLANK(B328:B328)+COUNTBLANK(D328:E328)+COUNTBLANK(G328:G328)+COUNTBLANK(O328:AJ328))&amp;" datos obligatorios",IF(NOT(ISNUMBER(B328)),"Fecha no válida",IF(N(B328)&gt;TODAY(),"Fecha futura",IF(IFERROR(VLOOKUP(E328,LISTAS!$A$2:$C$65,3,FALSE),"")&lt;&gt;D328,"La subregión no corresponde al municipio",IF(IF(L328="",FALSE,OR(L328&lt;0,L328&gt;110)),"Edad fuera de rango",IF((V328="Sí")+(W328="Sí")+(X328="Sí")+(Y328="Sí")=0,"Marque al menos un tipo de violencia","OK")))))))</f>
        <v/>
      </c>
    </row>
    <row r="329">
      <c r="A329" s="12">
        <f>IF(OR(F329="",F329="Revisar",C329=""),"",F329&amp;"-"&amp;C329&amp;"-"&amp;TEXT(COUNTIFS($F$2:F329,F329,$C$2:C329,C329),"0000"))</f>
        <v/>
      </c>
      <c r="B329" s="13" t="n"/>
      <c r="C329" s="12">
        <f>IF(ISNUMBER(B329),YEAR(B329),"")</f>
        <v/>
      </c>
      <c r="D329" s="14" t="n"/>
      <c r="E329" s="14" t="n"/>
      <c r="F329" s="12">
        <f>IF(E329="","",IFERROR(VLOOKUP(E329,LISTAS!$A$2:$C$65,2,FALSE),"Revisar"))</f>
        <v/>
      </c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2">
        <f>IF(COUNTA(B329:B329)+COUNTA(D329:E329)+COUNTA(G329:AJ329)=0,"",IF(COUNTBLANK(B329:B329)+COUNTBLANK(D329:E329)+COUNTBLANK(G329:G329)+COUNTBLANK(O329:AJ329)&gt;0,"Faltan "&amp;(COUNTBLANK(B329:B329)+COUNTBLANK(D329:E329)+COUNTBLANK(G329:G329)+COUNTBLANK(O329:AJ329))&amp;" datos obligatorios",IF(NOT(ISNUMBER(B329)),"Fecha no válida",IF(N(B329)&gt;TODAY(),"Fecha futura",IF(IFERROR(VLOOKUP(E329,LISTAS!$A$2:$C$65,3,FALSE),"")&lt;&gt;D329,"La subregión no corresponde al municipio",IF(IF(L329="",FALSE,OR(L329&lt;0,L329&gt;110)),"Edad fuera de rango",IF((V329="Sí")+(W329="Sí")+(X329="Sí")+(Y329="Sí")=0,"Marque al menos un tipo de violencia","OK")))))))</f>
        <v/>
      </c>
    </row>
    <row r="330">
      <c r="A330" s="12">
        <f>IF(OR(F330="",F330="Revisar",C330=""),"",F330&amp;"-"&amp;C330&amp;"-"&amp;TEXT(COUNTIFS($F$2:F330,F330,$C$2:C330,C330),"0000"))</f>
        <v/>
      </c>
      <c r="B330" s="13" t="n"/>
      <c r="C330" s="12">
        <f>IF(ISNUMBER(B330),YEAR(B330),"")</f>
        <v/>
      </c>
      <c r="D330" s="14" t="n"/>
      <c r="E330" s="14" t="n"/>
      <c r="F330" s="12">
        <f>IF(E330="","",IFERROR(VLOOKUP(E330,LISTAS!$A$2:$C$65,2,FALSE),"Revisar"))</f>
        <v/>
      </c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2">
        <f>IF(COUNTA(B330:B330)+COUNTA(D330:E330)+COUNTA(G330:AJ330)=0,"",IF(COUNTBLANK(B330:B330)+COUNTBLANK(D330:E330)+COUNTBLANK(G330:G330)+COUNTBLANK(O330:AJ330)&gt;0,"Faltan "&amp;(COUNTBLANK(B330:B330)+COUNTBLANK(D330:E330)+COUNTBLANK(G330:G330)+COUNTBLANK(O330:AJ330))&amp;" datos obligatorios",IF(NOT(ISNUMBER(B330)),"Fecha no válida",IF(N(B330)&gt;TODAY(),"Fecha futura",IF(IFERROR(VLOOKUP(E330,LISTAS!$A$2:$C$65,3,FALSE),"")&lt;&gt;D330,"La subregión no corresponde al municipio",IF(IF(L330="",FALSE,OR(L330&lt;0,L330&gt;110)),"Edad fuera de rango",IF((V330="Sí")+(W330="Sí")+(X330="Sí")+(Y330="Sí")=0,"Marque al menos un tipo de violencia","OK")))))))</f>
        <v/>
      </c>
    </row>
    <row r="331">
      <c r="A331" s="12">
        <f>IF(OR(F331="",F331="Revisar",C331=""),"",F331&amp;"-"&amp;C331&amp;"-"&amp;TEXT(COUNTIFS($F$2:F331,F331,$C$2:C331,C331),"0000"))</f>
        <v/>
      </c>
      <c r="B331" s="13" t="n"/>
      <c r="C331" s="12">
        <f>IF(ISNUMBER(B331),YEAR(B331),"")</f>
        <v/>
      </c>
      <c r="D331" s="14" t="n"/>
      <c r="E331" s="14" t="n"/>
      <c r="F331" s="12">
        <f>IF(E331="","",IFERROR(VLOOKUP(E331,LISTAS!$A$2:$C$65,2,FALSE),"Revisar"))</f>
        <v/>
      </c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2">
        <f>IF(COUNTA(B331:B331)+COUNTA(D331:E331)+COUNTA(G331:AJ331)=0,"",IF(COUNTBLANK(B331:B331)+COUNTBLANK(D331:E331)+COUNTBLANK(G331:G331)+COUNTBLANK(O331:AJ331)&gt;0,"Faltan "&amp;(COUNTBLANK(B331:B331)+COUNTBLANK(D331:E331)+COUNTBLANK(G331:G331)+COUNTBLANK(O331:AJ331))&amp;" datos obligatorios",IF(NOT(ISNUMBER(B331)),"Fecha no válida",IF(N(B331)&gt;TODAY(),"Fecha futura",IF(IFERROR(VLOOKUP(E331,LISTAS!$A$2:$C$65,3,FALSE),"")&lt;&gt;D331,"La subregión no corresponde al municipio",IF(IF(L331="",FALSE,OR(L331&lt;0,L331&gt;110)),"Edad fuera de rango",IF((V331="Sí")+(W331="Sí")+(X331="Sí")+(Y331="Sí")=0,"Marque al menos un tipo de violencia","OK")))))))</f>
        <v/>
      </c>
    </row>
    <row r="332">
      <c r="A332" s="12">
        <f>IF(OR(F332="",F332="Revisar",C332=""),"",F332&amp;"-"&amp;C332&amp;"-"&amp;TEXT(COUNTIFS($F$2:F332,F332,$C$2:C332,C332),"0000"))</f>
        <v/>
      </c>
      <c r="B332" s="13" t="n"/>
      <c r="C332" s="12">
        <f>IF(ISNUMBER(B332),YEAR(B332),"")</f>
        <v/>
      </c>
      <c r="D332" s="14" t="n"/>
      <c r="E332" s="14" t="n"/>
      <c r="F332" s="12">
        <f>IF(E332="","",IFERROR(VLOOKUP(E332,LISTAS!$A$2:$C$65,2,FALSE),"Revisar"))</f>
        <v/>
      </c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2">
        <f>IF(COUNTA(B332:B332)+COUNTA(D332:E332)+COUNTA(G332:AJ332)=0,"",IF(COUNTBLANK(B332:B332)+COUNTBLANK(D332:E332)+COUNTBLANK(G332:G332)+COUNTBLANK(O332:AJ332)&gt;0,"Faltan "&amp;(COUNTBLANK(B332:B332)+COUNTBLANK(D332:E332)+COUNTBLANK(G332:G332)+COUNTBLANK(O332:AJ332))&amp;" datos obligatorios",IF(NOT(ISNUMBER(B332)),"Fecha no válida",IF(N(B332)&gt;TODAY(),"Fecha futura",IF(IFERROR(VLOOKUP(E332,LISTAS!$A$2:$C$65,3,FALSE),"")&lt;&gt;D332,"La subregión no corresponde al municipio",IF(IF(L332="",FALSE,OR(L332&lt;0,L332&gt;110)),"Edad fuera de rango",IF((V332="Sí")+(W332="Sí")+(X332="Sí")+(Y332="Sí")=0,"Marque al menos un tipo de violencia","OK")))))))</f>
        <v/>
      </c>
    </row>
    <row r="333">
      <c r="A333" s="12">
        <f>IF(OR(F333="",F333="Revisar",C333=""),"",F333&amp;"-"&amp;C333&amp;"-"&amp;TEXT(COUNTIFS($F$2:F333,F333,$C$2:C333,C333),"0000"))</f>
        <v/>
      </c>
      <c r="B333" s="13" t="n"/>
      <c r="C333" s="12">
        <f>IF(ISNUMBER(B333),YEAR(B333),"")</f>
        <v/>
      </c>
      <c r="D333" s="14" t="n"/>
      <c r="E333" s="14" t="n"/>
      <c r="F333" s="12">
        <f>IF(E333="","",IFERROR(VLOOKUP(E333,LISTAS!$A$2:$C$65,2,FALSE),"Revisar"))</f>
        <v/>
      </c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2">
        <f>IF(COUNTA(B333:B333)+COUNTA(D333:E333)+COUNTA(G333:AJ333)=0,"",IF(COUNTBLANK(B333:B333)+COUNTBLANK(D333:E333)+COUNTBLANK(G333:G333)+COUNTBLANK(O333:AJ333)&gt;0,"Faltan "&amp;(COUNTBLANK(B333:B333)+COUNTBLANK(D333:E333)+COUNTBLANK(G333:G333)+COUNTBLANK(O333:AJ333))&amp;" datos obligatorios",IF(NOT(ISNUMBER(B333)),"Fecha no válida",IF(N(B333)&gt;TODAY(),"Fecha futura",IF(IFERROR(VLOOKUP(E333,LISTAS!$A$2:$C$65,3,FALSE),"")&lt;&gt;D333,"La subregión no corresponde al municipio",IF(IF(L333="",FALSE,OR(L333&lt;0,L333&gt;110)),"Edad fuera de rango",IF((V333="Sí")+(W333="Sí")+(X333="Sí")+(Y333="Sí")=0,"Marque al menos un tipo de violencia","OK")))))))</f>
        <v/>
      </c>
    </row>
    <row r="334">
      <c r="A334" s="12">
        <f>IF(OR(F334="",F334="Revisar",C334=""),"",F334&amp;"-"&amp;C334&amp;"-"&amp;TEXT(COUNTIFS($F$2:F334,F334,$C$2:C334,C334),"0000"))</f>
        <v/>
      </c>
      <c r="B334" s="13" t="n"/>
      <c r="C334" s="12">
        <f>IF(ISNUMBER(B334),YEAR(B334),"")</f>
        <v/>
      </c>
      <c r="D334" s="14" t="n"/>
      <c r="E334" s="14" t="n"/>
      <c r="F334" s="12">
        <f>IF(E334="","",IFERROR(VLOOKUP(E334,LISTAS!$A$2:$C$65,2,FALSE),"Revisar"))</f>
        <v/>
      </c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2">
        <f>IF(COUNTA(B334:B334)+COUNTA(D334:E334)+COUNTA(G334:AJ334)=0,"",IF(COUNTBLANK(B334:B334)+COUNTBLANK(D334:E334)+COUNTBLANK(G334:G334)+COUNTBLANK(O334:AJ334)&gt;0,"Faltan "&amp;(COUNTBLANK(B334:B334)+COUNTBLANK(D334:E334)+COUNTBLANK(G334:G334)+COUNTBLANK(O334:AJ334))&amp;" datos obligatorios",IF(NOT(ISNUMBER(B334)),"Fecha no válida",IF(N(B334)&gt;TODAY(),"Fecha futura",IF(IFERROR(VLOOKUP(E334,LISTAS!$A$2:$C$65,3,FALSE),"")&lt;&gt;D334,"La subregión no corresponde al municipio",IF(IF(L334="",FALSE,OR(L334&lt;0,L334&gt;110)),"Edad fuera de rango",IF((V334="Sí")+(W334="Sí")+(X334="Sí")+(Y334="Sí")=0,"Marque al menos un tipo de violencia","OK")))))))</f>
        <v/>
      </c>
    </row>
    <row r="335">
      <c r="A335" s="12">
        <f>IF(OR(F335="",F335="Revisar",C335=""),"",F335&amp;"-"&amp;C335&amp;"-"&amp;TEXT(COUNTIFS($F$2:F335,F335,$C$2:C335,C335),"0000"))</f>
        <v/>
      </c>
      <c r="B335" s="13" t="n"/>
      <c r="C335" s="12">
        <f>IF(ISNUMBER(B335),YEAR(B335),"")</f>
        <v/>
      </c>
      <c r="D335" s="14" t="n"/>
      <c r="E335" s="14" t="n"/>
      <c r="F335" s="12">
        <f>IF(E335="","",IFERROR(VLOOKUP(E335,LISTAS!$A$2:$C$65,2,FALSE),"Revisar"))</f>
        <v/>
      </c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2">
        <f>IF(COUNTA(B335:B335)+COUNTA(D335:E335)+COUNTA(G335:AJ335)=0,"",IF(COUNTBLANK(B335:B335)+COUNTBLANK(D335:E335)+COUNTBLANK(G335:G335)+COUNTBLANK(O335:AJ335)&gt;0,"Faltan "&amp;(COUNTBLANK(B335:B335)+COUNTBLANK(D335:E335)+COUNTBLANK(G335:G335)+COUNTBLANK(O335:AJ335))&amp;" datos obligatorios",IF(NOT(ISNUMBER(B335)),"Fecha no válida",IF(N(B335)&gt;TODAY(),"Fecha futura",IF(IFERROR(VLOOKUP(E335,LISTAS!$A$2:$C$65,3,FALSE),"")&lt;&gt;D335,"La subregión no corresponde al municipio",IF(IF(L335="",FALSE,OR(L335&lt;0,L335&gt;110)),"Edad fuera de rango",IF((V335="Sí")+(W335="Sí")+(X335="Sí")+(Y335="Sí")=0,"Marque al menos un tipo de violencia","OK")))))))</f>
        <v/>
      </c>
    </row>
    <row r="336">
      <c r="A336" s="12">
        <f>IF(OR(F336="",F336="Revisar",C336=""),"",F336&amp;"-"&amp;C336&amp;"-"&amp;TEXT(COUNTIFS($F$2:F336,F336,$C$2:C336,C336),"0000"))</f>
        <v/>
      </c>
      <c r="B336" s="13" t="n"/>
      <c r="C336" s="12">
        <f>IF(ISNUMBER(B336),YEAR(B336),"")</f>
        <v/>
      </c>
      <c r="D336" s="14" t="n"/>
      <c r="E336" s="14" t="n"/>
      <c r="F336" s="12">
        <f>IF(E336="","",IFERROR(VLOOKUP(E336,LISTAS!$A$2:$C$65,2,FALSE),"Revisar"))</f>
        <v/>
      </c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2">
        <f>IF(COUNTA(B336:B336)+COUNTA(D336:E336)+COUNTA(G336:AJ336)=0,"",IF(COUNTBLANK(B336:B336)+COUNTBLANK(D336:E336)+COUNTBLANK(G336:G336)+COUNTBLANK(O336:AJ336)&gt;0,"Faltan "&amp;(COUNTBLANK(B336:B336)+COUNTBLANK(D336:E336)+COUNTBLANK(G336:G336)+COUNTBLANK(O336:AJ336))&amp;" datos obligatorios",IF(NOT(ISNUMBER(B336)),"Fecha no válida",IF(N(B336)&gt;TODAY(),"Fecha futura",IF(IFERROR(VLOOKUP(E336,LISTAS!$A$2:$C$65,3,FALSE),"")&lt;&gt;D336,"La subregión no corresponde al municipio",IF(IF(L336="",FALSE,OR(L336&lt;0,L336&gt;110)),"Edad fuera de rango",IF((V336="Sí")+(W336="Sí")+(X336="Sí")+(Y336="Sí")=0,"Marque al menos un tipo de violencia","OK")))))))</f>
        <v/>
      </c>
    </row>
    <row r="337">
      <c r="A337" s="12">
        <f>IF(OR(F337="",F337="Revisar",C337=""),"",F337&amp;"-"&amp;C337&amp;"-"&amp;TEXT(COUNTIFS($F$2:F337,F337,$C$2:C337,C337),"0000"))</f>
        <v/>
      </c>
      <c r="B337" s="13" t="n"/>
      <c r="C337" s="12">
        <f>IF(ISNUMBER(B337),YEAR(B337),"")</f>
        <v/>
      </c>
      <c r="D337" s="14" t="n"/>
      <c r="E337" s="14" t="n"/>
      <c r="F337" s="12">
        <f>IF(E337="","",IFERROR(VLOOKUP(E337,LISTAS!$A$2:$C$65,2,FALSE),"Revisar"))</f>
        <v/>
      </c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2">
        <f>IF(COUNTA(B337:B337)+COUNTA(D337:E337)+COUNTA(G337:AJ337)=0,"",IF(COUNTBLANK(B337:B337)+COUNTBLANK(D337:E337)+COUNTBLANK(G337:G337)+COUNTBLANK(O337:AJ337)&gt;0,"Faltan "&amp;(COUNTBLANK(B337:B337)+COUNTBLANK(D337:E337)+COUNTBLANK(G337:G337)+COUNTBLANK(O337:AJ337))&amp;" datos obligatorios",IF(NOT(ISNUMBER(B337)),"Fecha no válida",IF(N(B337)&gt;TODAY(),"Fecha futura",IF(IFERROR(VLOOKUP(E337,LISTAS!$A$2:$C$65,3,FALSE),"")&lt;&gt;D337,"La subregión no corresponde al municipio",IF(IF(L337="",FALSE,OR(L337&lt;0,L337&gt;110)),"Edad fuera de rango",IF((V337="Sí")+(W337="Sí")+(X337="Sí")+(Y337="Sí")=0,"Marque al menos un tipo de violencia","OK")))))))</f>
        <v/>
      </c>
    </row>
    <row r="338">
      <c r="A338" s="12">
        <f>IF(OR(F338="",F338="Revisar",C338=""),"",F338&amp;"-"&amp;C338&amp;"-"&amp;TEXT(COUNTIFS($F$2:F338,F338,$C$2:C338,C338),"0000"))</f>
        <v/>
      </c>
      <c r="B338" s="13" t="n"/>
      <c r="C338" s="12">
        <f>IF(ISNUMBER(B338),YEAR(B338),"")</f>
        <v/>
      </c>
      <c r="D338" s="14" t="n"/>
      <c r="E338" s="14" t="n"/>
      <c r="F338" s="12">
        <f>IF(E338="","",IFERROR(VLOOKUP(E338,LISTAS!$A$2:$C$65,2,FALSE),"Revisar"))</f>
        <v/>
      </c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2">
        <f>IF(COUNTA(B338:B338)+COUNTA(D338:E338)+COUNTA(G338:AJ338)=0,"",IF(COUNTBLANK(B338:B338)+COUNTBLANK(D338:E338)+COUNTBLANK(G338:G338)+COUNTBLANK(O338:AJ338)&gt;0,"Faltan "&amp;(COUNTBLANK(B338:B338)+COUNTBLANK(D338:E338)+COUNTBLANK(G338:G338)+COUNTBLANK(O338:AJ338))&amp;" datos obligatorios",IF(NOT(ISNUMBER(B338)),"Fecha no válida",IF(N(B338)&gt;TODAY(),"Fecha futura",IF(IFERROR(VLOOKUP(E338,LISTAS!$A$2:$C$65,3,FALSE),"")&lt;&gt;D338,"La subregión no corresponde al municipio",IF(IF(L338="",FALSE,OR(L338&lt;0,L338&gt;110)),"Edad fuera de rango",IF((V338="Sí")+(W338="Sí")+(X338="Sí")+(Y338="Sí")=0,"Marque al menos un tipo de violencia","OK")))))))</f>
        <v/>
      </c>
    </row>
    <row r="339">
      <c r="A339" s="12">
        <f>IF(OR(F339="",F339="Revisar",C339=""),"",F339&amp;"-"&amp;C339&amp;"-"&amp;TEXT(COUNTIFS($F$2:F339,F339,$C$2:C339,C339),"0000"))</f>
        <v/>
      </c>
      <c r="B339" s="13" t="n"/>
      <c r="C339" s="12">
        <f>IF(ISNUMBER(B339),YEAR(B339),"")</f>
        <v/>
      </c>
      <c r="D339" s="14" t="n"/>
      <c r="E339" s="14" t="n"/>
      <c r="F339" s="12">
        <f>IF(E339="","",IFERROR(VLOOKUP(E339,LISTAS!$A$2:$C$65,2,FALSE),"Revisar"))</f>
        <v/>
      </c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2">
        <f>IF(COUNTA(B339:B339)+COUNTA(D339:E339)+COUNTA(G339:AJ339)=0,"",IF(COUNTBLANK(B339:B339)+COUNTBLANK(D339:E339)+COUNTBLANK(G339:G339)+COUNTBLANK(O339:AJ339)&gt;0,"Faltan "&amp;(COUNTBLANK(B339:B339)+COUNTBLANK(D339:E339)+COUNTBLANK(G339:G339)+COUNTBLANK(O339:AJ339))&amp;" datos obligatorios",IF(NOT(ISNUMBER(B339)),"Fecha no válida",IF(N(B339)&gt;TODAY(),"Fecha futura",IF(IFERROR(VLOOKUP(E339,LISTAS!$A$2:$C$65,3,FALSE),"")&lt;&gt;D339,"La subregión no corresponde al municipio",IF(IF(L339="",FALSE,OR(L339&lt;0,L339&gt;110)),"Edad fuera de rango",IF((V339="Sí")+(W339="Sí")+(X339="Sí")+(Y339="Sí")=0,"Marque al menos un tipo de violencia","OK")))))))</f>
        <v/>
      </c>
    </row>
    <row r="340">
      <c r="A340" s="12">
        <f>IF(OR(F340="",F340="Revisar",C340=""),"",F340&amp;"-"&amp;C340&amp;"-"&amp;TEXT(COUNTIFS($F$2:F340,F340,$C$2:C340,C340),"0000"))</f>
        <v/>
      </c>
      <c r="B340" s="13" t="n"/>
      <c r="C340" s="12">
        <f>IF(ISNUMBER(B340),YEAR(B340),"")</f>
        <v/>
      </c>
      <c r="D340" s="14" t="n"/>
      <c r="E340" s="14" t="n"/>
      <c r="F340" s="12">
        <f>IF(E340="","",IFERROR(VLOOKUP(E340,LISTAS!$A$2:$C$65,2,FALSE),"Revisar"))</f>
        <v/>
      </c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2">
        <f>IF(COUNTA(B340:B340)+COUNTA(D340:E340)+COUNTA(G340:AJ340)=0,"",IF(COUNTBLANK(B340:B340)+COUNTBLANK(D340:E340)+COUNTBLANK(G340:G340)+COUNTBLANK(O340:AJ340)&gt;0,"Faltan "&amp;(COUNTBLANK(B340:B340)+COUNTBLANK(D340:E340)+COUNTBLANK(G340:G340)+COUNTBLANK(O340:AJ340))&amp;" datos obligatorios",IF(NOT(ISNUMBER(B340)),"Fecha no válida",IF(N(B340)&gt;TODAY(),"Fecha futura",IF(IFERROR(VLOOKUP(E340,LISTAS!$A$2:$C$65,3,FALSE),"")&lt;&gt;D340,"La subregión no corresponde al municipio",IF(IF(L340="",FALSE,OR(L340&lt;0,L340&gt;110)),"Edad fuera de rango",IF((V340="Sí")+(W340="Sí")+(X340="Sí")+(Y340="Sí")=0,"Marque al menos un tipo de violencia","OK")))))))</f>
        <v/>
      </c>
    </row>
    <row r="341">
      <c r="A341" s="12">
        <f>IF(OR(F341="",F341="Revisar",C341=""),"",F341&amp;"-"&amp;C341&amp;"-"&amp;TEXT(COUNTIFS($F$2:F341,F341,$C$2:C341,C341),"0000"))</f>
        <v/>
      </c>
      <c r="B341" s="13" t="n"/>
      <c r="C341" s="12">
        <f>IF(ISNUMBER(B341),YEAR(B341),"")</f>
        <v/>
      </c>
      <c r="D341" s="14" t="n"/>
      <c r="E341" s="14" t="n"/>
      <c r="F341" s="12">
        <f>IF(E341="","",IFERROR(VLOOKUP(E341,LISTAS!$A$2:$C$65,2,FALSE),"Revisar"))</f>
        <v/>
      </c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2">
        <f>IF(COUNTA(B341:B341)+COUNTA(D341:E341)+COUNTA(G341:AJ341)=0,"",IF(COUNTBLANK(B341:B341)+COUNTBLANK(D341:E341)+COUNTBLANK(G341:G341)+COUNTBLANK(O341:AJ341)&gt;0,"Faltan "&amp;(COUNTBLANK(B341:B341)+COUNTBLANK(D341:E341)+COUNTBLANK(G341:G341)+COUNTBLANK(O341:AJ341))&amp;" datos obligatorios",IF(NOT(ISNUMBER(B341)),"Fecha no válida",IF(N(B341)&gt;TODAY(),"Fecha futura",IF(IFERROR(VLOOKUP(E341,LISTAS!$A$2:$C$65,3,FALSE),"")&lt;&gt;D341,"La subregión no corresponde al municipio",IF(IF(L341="",FALSE,OR(L341&lt;0,L341&gt;110)),"Edad fuera de rango",IF((V341="Sí")+(W341="Sí")+(X341="Sí")+(Y341="Sí")=0,"Marque al menos un tipo de violencia","OK")))))))</f>
        <v/>
      </c>
    </row>
    <row r="342">
      <c r="A342" s="12">
        <f>IF(OR(F342="",F342="Revisar",C342=""),"",F342&amp;"-"&amp;C342&amp;"-"&amp;TEXT(COUNTIFS($F$2:F342,F342,$C$2:C342,C342),"0000"))</f>
        <v/>
      </c>
      <c r="B342" s="13" t="n"/>
      <c r="C342" s="12">
        <f>IF(ISNUMBER(B342),YEAR(B342),"")</f>
        <v/>
      </c>
      <c r="D342" s="14" t="n"/>
      <c r="E342" s="14" t="n"/>
      <c r="F342" s="12">
        <f>IF(E342="","",IFERROR(VLOOKUP(E342,LISTAS!$A$2:$C$65,2,FALSE),"Revisar"))</f>
        <v/>
      </c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2">
        <f>IF(COUNTA(B342:B342)+COUNTA(D342:E342)+COUNTA(G342:AJ342)=0,"",IF(COUNTBLANK(B342:B342)+COUNTBLANK(D342:E342)+COUNTBLANK(G342:G342)+COUNTBLANK(O342:AJ342)&gt;0,"Faltan "&amp;(COUNTBLANK(B342:B342)+COUNTBLANK(D342:E342)+COUNTBLANK(G342:G342)+COUNTBLANK(O342:AJ342))&amp;" datos obligatorios",IF(NOT(ISNUMBER(B342)),"Fecha no válida",IF(N(B342)&gt;TODAY(),"Fecha futura",IF(IFERROR(VLOOKUP(E342,LISTAS!$A$2:$C$65,3,FALSE),"")&lt;&gt;D342,"La subregión no corresponde al municipio",IF(IF(L342="",FALSE,OR(L342&lt;0,L342&gt;110)),"Edad fuera de rango",IF((V342="Sí")+(W342="Sí")+(X342="Sí")+(Y342="Sí")=0,"Marque al menos un tipo de violencia","OK")))))))</f>
        <v/>
      </c>
    </row>
    <row r="343">
      <c r="A343" s="12">
        <f>IF(OR(F343="",F343="Revisar",C343=""),"",F343&amp;"-"&amp;C343&amp;"-"&amp;TEXT(COUNTIFS($F$2:F343,F343,$C$2:C343,C343),"0000"))</f>
        <v/>
      </c>
      <c r="B343" s="13" t="n"/>
      <c r="C343" s="12">
        <f>IF(ISNUMBER(B343),YEAR(B343),"")</f>
        <v/>
      </c>
      <c r="D343" s="14" t="n"/>
      <c r="E343" s="14" t="n"/>
      <c r="F343" s="12">
        <f>IF(E343="","",IFERROR(VLOOKUP(E343,LISTAS!$A$2:$C$65,2,FALSE),"Revisar"))</f>
        <v/>
      </c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2">
        <f>IF(COUNTA(B343:B343)+COUNTA(D343:E343)+COUNTA(G343:AJ343)=0,"",IF(COUNTBLANK(B343:B343)+COUNTBLANK(D343:E343)+COUNTBLANK(G343:G343)+COUNTBLANK(O343:AJ343)&gt;0,"Faltan "&amp;(COUNTBLANK(B343:B343)+COUNTBLANK(D343:E343)+COUNTBLANK(G343:G343)+COUNTBLANK(O343:AJ343))&amp;" datos obligatorios",IF(NOT(ISNUMBER(B343)),"Fecha no válida",IF(N(B343)&gt;TODAY(),"Fecha futura",IF(IFERROR(VLOOKUP(E343,LISTAS!$A$2:$C$65,3,FALSE),"")&lt;&gt;D343,"La subregión no corresponde al municipio",IF(IF(L343="",FALSE,OR(L343&lt;0,L343&gt;110)),"Edad fuera de rango",IF((V343="Sí")+(W343="Sí")+(X343="Sí")+(Y343="Sí")=0,"Marque al menos un tipo de violencia","OK")))))))</f>
        <v/>
      </c>
    </row>
    <row r="344">
      <c r="A344" s="12">
        <f>IF(OR(F344="",F344="Revisar",C344=""),"",F344&amp;"-"&amp;C344&amp;"-"&amp;TEXT(COUNTIFS($F$2:F344,F344,$C$2:C344,C344),"0000"))</f>
        <v/>
      </c>
      <c r="B344" s="13" t="n"/>
      <c r="C344" s="12">
        <f>IF(ISNUMBER(B344),YEAR(B344),"")</f>
        <v/>
      </c>
      <c r="D344" s="14" t="n"/>
      <c r="E344" s="14" t="n"/>
      <c r="F344" s="12">
        <f>IF(E344="","",IFERROR(VLOOKUP(E344,LISTAS!$A$2:$C$65,2,FALSE),"Revisar"))</f>
        <v/>
      </c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2">
        <f>IF(COUNTA(B344:B344)+COUNTA(D344:E344)+COUNTA(G344:AJ344)=0,"",IF(COUNTBLANK(B344:B344)+COUNTBLANK(D344:E344)+COUNTBLANK(G344:G344)+COUNTBLANK(O344:AJ344)&gt;0,"Faltan "&amp;(COUNTBLANK(B344:B344)+COUNTBLANK(D344:E344)+COUNTBLANK(G344:G344)+COUNTBLANK(O344:AJ344))&amp;" datos obligatorios",IF(NOT(ISNUMBER(B344)),"Fecha no válida",IF(N(B344)&gt;TODAY(),"Fecha futura",IF(IFERROR(VLOOKUP(E344,LISTAS!$A$2:$C$65,3,FALSE),"")&lt;&gt;D344,"La subregión no corresponde al municipio",IF(IF(L344="",FALSE,OR(L344&lt;0,L344&gt;110)),"Edad fuera de rango",IF((V344="Sí")+(W344="Sí")+(X344="Sí")+(Y344="Sí")=0,"Marque al menos un tipo de violencia","OK")))))))</f>
        <v/>
      </c>
    </row>
    <row r="345">
      <c r="A345" s="12">
        <f>IF(OR(F345="",F345="Revisar",C345=""),"",F345&amp;"-"&amp;C345&amp;"-"&amp;TEXT(COUNTIFS($F$2:F345,F345,$C$2:C345,C345),"0000"))</f>
        <v/>
      </c>
      <c r="B345" s="13" t="n"/>
      <c r="C345" s="12">
        <f>IF(ISNUMBER(B345),YEAR(B345),"")</f>
        <v/>
      </c>
      <c r="D345" s="14" t="n"/>
      <c r="E345" s="14" t="n"/>
      <c r="F345" s="12">
        <f>IF(E345="","",IFERROR(VLOOKUP(E345,LISTAS!$A$2:$C$65,2,FALSE),"Revisar"))</f>
        <v/>
      </c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2">
        <f>IF(COUNTA(B345:B345)+COUNTA(D345:E345)+COUNTA(G345:AJ345)=0,"",IF(COUNTBLANK(B345:B345)+COUNTBLANK(D345:E345)+COUNTBLANK(G345:G345)+COUNTBLANK(O345:AJ345)&gt;0,"Faltan "&amp;(COUNTBLANK(B345:B345)+COUNTBLANK(D345:E345)+COUNTBLANK(G345:G345)+COUNTBLANK(O345:AJ345))&amp;" datos obligatorios",IF(NOT(ISNUMBER(B345)),"Fecha no válida",IF(N(B345)&gt;TODAY(),"Fecha futura",IF(IFERROR(VLOOKUP(E345,LISTAS!$A$2:$C$65,3,FALSE),"")&lt;&gt;D345,"La subregión no corresponde al municipio",IF(IF(L345="",FALSE,OR(L345&lt;0,L345&gt;110)),"Edad fuera de rango",IF((V345="Sí")+(W345="Sí")+(X345="Sí")+(Y345="Sí")=0,"Marque al menos un tipo de violencia","OK")))))))</f>
        <v/>
      </c>
    </row>
    <row r="346">
      <c r="A346" s="12">
        <f>IF(OR(F346="",F346="Revisar",C346=""),"",F346&amp;"-"&amp;C346&amp;"-"&amp;TEXT(COUNTIFS($F$2:F346,F346,$C$2:C346,C346),"0000"))</f>
        <v/>
      </c>
      <c r="B346" s="13" t="n"/>
      <c r="C346" s="12">
        <f>IF(ISNUMBER(B346),YEAR(B346),"")</f>
        <v/>
      </c>
      <c r="D346" s="14" t="n"/>
      <c r="E346" s="14" t="n"/>
      <c r="F346" s="12">
        <f>IF(E346="","",IFERROR(VLOOKUP(E346,LISTAS!$A$2:$C$65,2,FALSE),"Revisar"))</f>
        <v/>
      </c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2">
        <f>IF(COUNTA(B346:B346)+COUNTA(D346:E346)+COUNTA(G346:AJ346)=0,"",IF(COUNTBLANK(B346:B346)+COUNTBLANK(D346:E346)+COUNTBLANK(G346:G346)+COUNTBLANK(O346:AJ346)&gt;0,"Faltan "&amp;(COUNTBLANK(B346:B346)+COUNTBLANK(D346:E346)+COUNTBLANK(G346:G346)+COUNTBLANK(O346:AJ346))&amp;" datos obligatorios",IF(NOT(ISNUMBER(B346)),"Fecha no válida",IF(N(B346)&gt;TODAY(),"Fecha futura",IF(IFERROR(VLOOKUP(E346,LISTAS!$A$2:$C$65,3,FALSE),"")&lt;&gt;D346,"La subregión no corresponde al municipio",IF(IF(L346="",FALSE,OR(L346&lt;0,L346&gt;110)),"Edad fuera de rango",IF((V346="Sí")+(W346="Sí")+(X346="Sí")+(Y346="Sí")=0,"Marque al menos un tipo de violencia","OK")))))))</f>
        <v/>
      </c>
    </row>
    <row r="347">
      <c r="A347" s="12">
        <f>IF(OR(F347="",F347="Revisar",C347=""),"",F347&amp;"-"&amp;C347&amp;"-"&amp;TEXT(COUNTIFS($F$2:F347,F347,$C$2:C347,C347),"0000"))</f>
        <v/>
      </c>
      <c r="B347" s="13" t="n"/>
      <c r="C347" s="12">
        <f>IF(ISNUMBER(B347),YEAR(B347),"")</f>
        <v/>
      </c>
      <c r="D347" s="14" t="n"/>
      <c r="E347" s="14" t="n"/>
      <c r="F347" s="12">
        <f>IF(E347="","",IFERROR(VLOOKUP(E347,LISTAS!$A$2:$C$65,2,FALSE),"Revisar"))</f>
        <v/>
      </c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2">
        <f>IF(COUNTA(B347:B347)+COUNTA(D347:E347)+COUNTA(G347:AJ347)=0,"",IF(COUNTBLANK(B347:B347)+COUNTBLANK(D347:E347)+COUNTBLANK(G347:G347)+COUNTBLANK(O347:AJ347)&gt;0,"Faltan "&amp;(COUNTBLANK(B347:B347)+COUNTBLANK(D347:E347)+COUNTBLANK(G347:G347)+COUNTBLANK(O347:AJ347))&amp;" datos obligatorios",IF(NOT(ISNUMBER(B347)),"Fecha no válida",IF(N(B347)&gt;TODAY(),"Fecha futura",IF(IFERROR(VLOOKUP(E347,LISTAS!$A$2:$C$65,3,FALSE),"")&lt;&gt;D347,"La subregión no corresponde al municipio",IF(IF(L347="",FALSE,OR(L347&lt;0,L347&gt;110)),"Edad fuera de rango",IF((V347="Sí")+(W347="Sí")+(X347="Sí")+(Y347="Sí")=0,"Marque al menos un tipo de violencia","OK")))))))</f>
        <v/>
      </c>
    </row>
    <row r="348">
      <c r="A348" s="12">
        <f>IF(OR(F348="",F348="Revisar",C348=""),"",F348&amp;"-"&amp;C348&amp;"-"&amp;TEXT(COUNTIFS($F$2:F348,F348,$C$2:C348,C348),"0000"))</f>
        <v/>
      </c>
      <c r="B348" s="13" t="n"/>
      <c r="C348" s="12">
        <f>IF(ISNUMBER(B348),YEAR(B348),"")</f>
        <v/>
      </c>
      <c r="D348" s="14" t="n"/>
      <c r="E348" s="14" t="n"/>
      <c r="F348" s="12">
        <f>IF(E348="","",IFERROR(VLOOKUP(E348,LISTAS!$A$2:$C$65,2,FALSE),"Revisar"))</f>
        <v/>
      </c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2">
        <f>IF(COUNTA(B348:B348)+COUNTA(D348:E348)+COUNTA(G348:AJ348)=0,"",IF(COUNTBLANK(B348:B348)+COUNTBLANK(D348:E348)+COUNTBLANK(G348:G348)+COUNTBLANK(O348:AJ348)&gt;0,"Faltan "&amp;(COUNTBLANK(B348:B348)+COUNTBLANK(D348:E348)+COUNTBLANK(G348:G348)+COUNTBLANK(O348:AJ348))&amp;" datos obligatorios",IF(NOT(ISNUMBER(B348)),"Fecha no válida",IF(N(B348)&gt;TODAY(),"Fecha futura",IF(IFERROR(VLOOKUP(E348,LISTAS!$A$2:$C$65,3,FALSE),"")&lt;&gt;D348,"La subregión no corresponde al municipio",IF(IF(L348="",FALSE,OR(L348&lt;0,L348&gt;110)),"Edad fuera de rango",IF((V348="Sí")+(W348="Sí")+(X348="Sí")+(Y348="Sí")=0,"Marque al menos un tipo de violencia","OK")))))))</f>
        <v/>
      </c>
    </row>
    <row r="349">
      <c r="A349" s="12">
        <f>IF(OR(F349="",F349="Revisar",C349=""),"",F349&amp;"-"&amp;C349&amp;"-"&amp;TEXT(COUNTIFS($F$2:F349,F349,$C$2:C349,C349),"0000"))</f>
        <v/>
      </c>
      <c r="B349" s="13" t="n"/>
      <c r="C349" s="12">
        <f>IF(ISNUMBER(B349),YEAR(B349),"")</f>
        <v/>
      </c>
      <c r="D349" s="14" t="n"/>
      <c r="E349" s="14" t="n"/>
      <c r="F349" s="12">
        <f>IF(E349="","",IFERROR(VLOOKUP(E349,LISTAS!$A$2:$C$65,2,FALSE),"Revisar"))</f>
        <v/>
      </c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2">
        <f>IF(COUNTA(B349:B349)+COUNTA(D349:E349)+COUNTA(G349:AJ349)=0,"",IF(COUNTBLANK(B349:B349)+COUNTBLANK(D349:E349)+COUNTBLANK(G349:G349)+COUNTBLANK(O349:AJ349)&gt;0,"Faltan "&amp;(COUNTBLANK(B349:B349)+COUNTBLANK(D349:E349)+COUNTBLANK(G349:G349)+COUNTBLANK(O349:AJ349))&amp;" datos obligatorios",IF(NOT(ISNUMBER(B349)),"Fecha no válida",IF(N(B349)&gt;TODAY(),"Fecha futura",IF(IFERROR(VLOOKUP(E349,LISTAS!$A$2:$C$65,3,FALSE),"")&lt;&gt;D349,"La subregión no corresponde al municipio",IF(IF(L349="",FALSE,OR(L349&lt;0,L349&gt;110)),"Edad fuera de rango",IF((V349="Sí")+(W349="Sí")+(X349="Sí")+(Y349="Sí")=0,"Marque al menos un tipo de violencia","OK")))))))</f>
        <v/>
      </c>
    </row>
    <row r="350">
      <c r="A350" s="12">
        <f>IF(OR(F350="",F350="Revisar",C350=""),"",F350&amp;"-"&amp;C350&amp;"-"&amp;TEXT(COUNTIFS($F$2:F350,F350,$C$2:C350,C350),"0000"))</f>
        <v/>
      </c>
      <c r="B350" s="13" t="n"/>
      <c r="C350" s="12">
        <f>IF(ISNUMBER(B350),YEAR(B350),"")</f>
        <v/>
      </c>
      <c r="D350" s="14" t="n"/>
      <c r="E350" s="14" t="n"/>
      <c r="F350" s="12">
        <f>IF(E350="","",IFERROR(VLOOKUP(E350,LISTAS!$A$2:$C$65,2,FALSE),"Revisar"))</f>
        <v/>
      </c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2">
        <f>IF(COUNTA(B350:B350)+COUNTA(D350:E350)+COUNTA(G350:AJ350)=0,"",IF(COUNTBLANK(B350:B350)+COUNTBLANK(D350:E350)+COUNTBLANK(G350:G350)+COUNTBLANK(O350:AJ350)&gt;0,"Faltan "&amp;(COUNTBLANK(B350:B350)+COUNTBLANK(D350:E350)+COUNTBLANK(G350:G350)+COUNTBLANK(O350:AJ350))&amp;" datos obligatorios",IF(NOT(ISNUMBER(B350)),"Fecha no válida",IF(N(B350)&gt;TODAY(),"Fecha futura",IF(IFERROR(VLOOKUP(E350,LISTAS!$A$2:$C$65,3,FALSE),"")&lt;&gt;D350,"La subregión no corresponde al municipio",IF(IF(L350="",FALSE,OR(L350&lt;0,L350&gt;110)),"Edad fuera de rango",IF((V350="Sí")+(W350="Sí")+(X350="Sí")+(Y350="Sí")=0,"Marque al menos un tipo de violencia","OK")))))))</f>
        <v/>
      </c>
    </row>
    <row r="351">
      <c r="A351" s="12">
        <f>IF(OR(F351="",F351="Revisar",C351=""),"",F351&amp;"-"&amp;C351&amp;"-"&amp;TEXT(COUNTIFS($F$2:F351,F351,$C$2:C351,C351),"0000"))</f>
        <v/>
      </c>
      <c r="B351" s="13" t="n"/>
      <c r="C351" s="12">
        <f>IF(ISNUMBER(B351),YEAR(B351),"")</f>
        <v/>
      </c>
      <c r="D351" s="14" t="n"/>
      <c r="E351" s="14" t="n"/>
      <c r="F351" s="12">
        <f>IF(E351="","",IFERROR(VLOOKUP(E351,LISTAS!$A$2:$C$65,2,FALSE),"Revisar"))</f>
        <v/>
      </c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2">
        <f>IF(COUNTA(B351:B351)+COUNTA(D351:E351)+COUNTA(G351:AJ351)=0,"",IF(COUNTBLANK(B351:B351)+COUNTBLANK(D351:E351)+COUNTBLANK(G351:G351)+COUNTBLANK(O351:AJ351)&gt;0,"Faltan "&amp;(COUNTBLANK(B351:B351)+COUNTBLANK(D351:E351)+COUNTBLANK(G351:G351)+COUNTBLANK(O351:AJ351))&amp;" datos obligatorios",IF(NOT(ISNUMBER(B351)),"Fecha no válida",IF(N(B351)&gt;TODAY(),"Fecha futura",IF(IFERROR(VLOOKUP(E351,LISTAS!$A$2:$C$65,3,FALSE),"")&lt;&gt;D351,"La subregión no corresponde al municipio",IF(IF(L351="",FALSE,OR(L351&lt;0,L351&gt;110)),"Edad fuera de rango",IF((V351="Sí")+(W351="Sí")+(X351="Sí")+(Y351="Sí")=0,"Marque al menos un tipo de violencia","OK")))))))</f>
        <v/>
      </c>
    </row>
    <row r="352">
      <c r="A352" s="12">
        <f>IF(OR(F352="",F352="Revisar",C352=""),"",F352&amp;"-"&amp;C352&amp;"-"&amp;TEXT(COUNTIFS($F$2:F352,F352,$C$2:C352,C352),"0000"))</f>
        <v/>
      </c>
      <c r="B352" s="13" t="n"/>
      <c r="C352" s="12">
        <f>IF(ISNUMBER(B352),YEAR(B352),"")</f>
        <v/>
      </c>
      <c r="D352" s="14" t="n"/>
      <c r="E352" s="14" t="n"/>
      <c r="F352" s="12">
        <f>IF(E352="","",IFERROR(VLOOKUP(E352,LISTAS!$A$2:$C$65,2,FALSE),"Revisar"))</f>
        <v/>
      </c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2">
        <f>IF(COUNTA(B352:B352)+COUNTA(D352:E352)+COUNTA(G352:AJ352)=0,"",IF(COUNTBLANK(B352:B352)+COUNTBLANK(D352:E352)+COUNTBLANK(G352:G352)+COUNTBLANK(O352:AJ352)&gt;0,"Faltan "&amp;(COUNTBLANK(B352:B352)+COUNTBLANK(D352:E352)+COUNTBLANK(G352:G352)+COUNTBLANK(O352:AJ352))&amp;" datos obligatorios",IF(NOT(ISNUMBER(B352)),"Fecha no válida",IF(N(B352)&gt;TODAY(),"Fecha futura",IF(IFERROR(VLOOKUP(E352,LISTAS!$A$2:$C$65,3,FALSE),"")&lt;&gt;D352,"La subregión no corresponde al municipio",IF(IF(L352="",FALSE,OR(L352&lt;0,L352&gt;110)),"Edad fuera de rango",IF((V352="Sí")+(W352="Sí")+(X352="Sí")+(Y352="Sí")=0,"Marque al menos un tipo de violencia","OK")))))))</f>
        <v/>
      </c>
    </row>
    <row r="353">
      <c r="A353" s="12">
        <f>IF(OR(F353="",F353="Revisar",C353=""),"",F353&amp;"-"&amp;C353&amp;"-"&amp;TEXT(COUNTIFS($F$2:F353,F353,$C$2:C353,C353),"0000"))</f>
        <v/>
      </c>
      <c r="B353" s="13" t="n"/>
      <c r="C353" s="12">
        <f>IF(ISNUMBER(B353),YEAR(B353),"")</f>
        <v/>
      </c>
      <c r="D353" s="14" t="n"/>
      <c r="E353" s="14" t="n"/>
      <c r="F353" s="12">
        <f>IF(E353="","",IFERROR(VLOOKUP(E353,LISTAS!$A$2:$C$65,2,FALSE),"Revisar"))</f>
        <v/>
      </c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2">
        <f>IF(COUNTA(B353:B353)+COUNTA(D353:E353)+COUNTA(G353:AJ353)=0,"",IF(COUNTBLANK(B353:B353)+COUNTBLANK(D353:E353)+COUNTBLANK(G353:G353)+COUNTBLANK(O353:AJ353)&gt;0,"Faltan "&amp;(COUNTBLANK(B353:B353)+COUNTBLANK(D353:E353)+COUNTBLANK(G353:G353)+COUNTBLANK(O353:AJ353))&amp;" datos obligatorios",IF(NOT(ISNUMBER(B353)),"Fecha no válida",IF(N(B353)&gt;TODAY(),"Fecha futura",IF(IFERROR(VLOOKUP(E353,LISTAS!$A$2:$C$65,3,FALSE),"")&lt;&gt;D353,"La subregión no corresponde al municipio",IF(IF(L353="",FALSE,OR(L353&lt;0,L353&gt;110)),"Edad fuera de rango",IF((V353="Sí")+(W353="Sí")+(X353="Sí")+(Y353="Sí")=0,"Marque al menos un tipo de violencia","OK")))))))</f>
        <v/>
      </c>
    </row>
    <row r="354">
      <c r="A354" s="12">
        <f>IF(OR(F354="",F354="Revisar",C354=""),"",F354&amp;"-"&amp;C354&amp;"-"&amp;TEXT(COUNTIFS($F$2:F354,F354,$C$2:C354,C354),"0000"))</f>
        <v/>
      </c>
      <c r="B354" s="13" t="n"/>
      <c r="C354" s="12">
        <f>IF(ISNUMBER(B354),YEAR(B354),"")</f>
        <v/>
      </c>
      <c r="D354" s="14" t="n"/>
      <c r="E354" s="14" t="n"/>
      <c r="F354" s="12">
        <f>IF(E354="","",IFERROR(VLOOKUP(E354,LISTAS!$A$2:$C$65,2,FALSE),"Revisar"))</f>
        <v/>
      </c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2">
        <f>IF(COUNTA(B354:B354)+COUNTA(D354:E354)+COUNTA(G354:AJ354)=0,"",IF(COUNTBLANK(B354:B354)+COUNTBLANK(D354:E354)+COUNTBLANK(G354:G354)+COUNTBLANK(O354:AJ354)&gt;0,"Faltan "&amp;(COUNTBLANK(B354:B354)+COUNTBLANK(D354:E354)+COUNTBLANK(G354:G354)+COUNTBLANK(O354:AJ354))&amp;" datos obligatorios",IF(NOT(ISNUMBER(B354)),"Fecha no válida",IF(N(B354)&gt;TODAY(),"Fecha futura",IF(IFERROR(VLOOKUP(E354,LISTAS!$A$2:$C$65,3,FALSE),"")&lt;&gt;D354,"La subregión no corresponde al municipio",IF(IF(L354="",FALSE,OR(L354&lt;0,L354&gt;110)),"Edad fuera de rango",IF((V354="Sí")+(W354="Sí")+(X354="Sí")+(Y354="Sí")=0,"Marque al menos un tipo de violencia","OK")))))))</f>
        <v/>
      </c>
    </row>
    <row r="355">
      <c r="A355" s="12">
        <f>IF(OR(F355="",F355="Revisar",C355=""),"",F355&amp;"-"&amp;C355&amp;"-"&amp;TEXT(COUNTIFS($F$2:F355,F355,$C$2:C355,C355),"0000"))</f>
        <v/>
      </c>
      <c r="B355" s="13" t="n"/>
      <c r="C355" s="12">
        <f>IF(ISNUMBER(B355),YEAR(B355),"")</f>
        <v/>
      </c>
      <c r="D355" s="14" t="n"/>
      <c r="E355" s="14" t="n"/>
      <c r="F355" s="12">
        <f>IF(E355="","",IFERROR(VLOOKUP(E355,LISTAS!$A$2:$C$65,2,FALSE),"Revisar"))</f>
        <v/>
      </c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2">
        <f>IF(COUNTA(B355:B355)+COUNTA(D355:E355)+COUNTA(G355:AJ355)=0,"",IF(COUNTBLANK(B355:B355)+COUNTBLANK(D355:E355)+COUNTBLANK(G355:G355)+COUNTBLANK(O355:AJ355)&gt;0,"Faltan "&amp;(COUNTBLANK(B355:B355)+COUNTBLANK(D355:E355)+COUNTBLANK(G355:G355)+COUNTBLANK(O355:AJ355))&amp;" datos obligatorios",IF(NOT(ISNUMBER(B355)),"Fecha no válida",IF(N(B355)&gt;TODAY(),"Fecha futura",IF(IFERROR(VLOOKUP(E355,LISTAS!$A$2:$C$65,3,FALSE),"")&lt;&gt;D355,"La subregión no corresponde al municipio",IF(IF(L355="",FALSE,OR(L355&lt;0,L355&gt;110)),"Edad fuera de rango",IF((V355="Sí")+(W355="Sí")+(X355="Sí")+(Y355="Sí")=0,"Marque al menos un tipo de violencia","OK")))))))</f>
        <v/>
      </c>
    </row>
    <row r="356">
      <c r="A356" s="12">
        <f>IF(OR(F356="",F356="Revisar",C356=""),"",F356&amp;"-"&amp;C356&amp;"-"&amp;TEXT(COUNTIFS($F$2:F356,F356,$C$2:C356,C356),"0000"))</f>
        <v/>
      </c>
      <c r="B356" s="13" t="n"/>
      <c r="C356" s="12">
        <f>IF(ISNUMBER(B356),YEAR(B356),"")</f>
        <v/>
      </c>
      <c r="D356" s="14" t="n"/>
      <c r="E356" s="14" t="n"/>
      <c r="F356" s="12">
        <f>IF(E356="","",IFERROR(VLOOKUP(E356,LISTAS!$A$2:$C$65,2,FALSE),"Revisar"))</f>
        <v/>
      </c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2">
        <f>IF(COUNTA(B356:B356)+COUNTA(D356:E356)+COUNTA(G356:AJ356)=0,"",IF(COUNTBLANK(B356:B356)+COUNTBLANK(D356:E356)+COUNTBLANK(G356:G356)+COUNTBLANK(O356:AJ356)&gt;0,"Faltan "&amp;(COUNTBLANK(B356:B356)+COUNTBLANK(D356:E356)+COUNTBLANK(G356:G356)+COUNTBLANK(O356:AJ356))&amp;" datos obligatorios",IF(NOT(ISNUMBER(B356)),"Fecha no válida",IF(N(B356)&gt;TODAY(),"Fecha futura",IF(IFERROR(VLOOKUP(E356,LISTAS!$A$2:$C$65,3,FALSE),"")&lt;&gt;D356,"La subregión no corresponde al municipio",IF(IF(L356="",FALSE,OR(L356&lt;0,L356&gt;110)),"Edad fuera de rango",IF((V356="Sí")+(W356="Sí")+(X356="Sí")+(Y356="Sí")=0,"Marque al menos un tipo de violencia","OK")))))))</f>
        <v/>
      </c>
    </row>
    <row r="357">
      <c r="A357" s="12">
        <f>IF(OR(F357="",F357="Revisar",C357=""),"",F357&amp;"-"&amp;C357&amp;"-"&amp;TEXT(COUNTIFS($F$2:F357,F357,$C$2:C357,C357),"0000"))</f>
        <v/>
      </c>
      <c r="B357" s="13" t="n"/>
      <c r="C357" s="12">
        <f>IF(ISNUMBER(B357),YEAR(B357),"")</f>
        <v/>
      </c>
      <c r="D357" s="14" t="n"/>
      <c r="E357" s="14" t="n"/>
      <c r="F357" s="12">
        <f>IF(E357="","",IFERROR(VLOOKUP(E357,LISTAS!$A$2:$C$65,2,FALSE),"Revisar"))</f>
        <v/>
      </c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2">
        <f>IF(COUNTA(B357:B357)+COUNTA(D357:E357)+COUNTA(G357:AJ357)=0,"",IF(COUNTBLANK(B357:B357)+COUNTBLANK(D357:E357)+COUNTBLANK(G357:G357)+COUNTBLANK(O357:AJ357)&gt;0,"Faltan "&amp;(COUNTBLANK(B357:B357)+COUNTBLANK(D357:E357)+COUNTBLANK(G357:G357)+COUNTBLANK(O357:AJ357))&amp;" datos obligatorios",IF(NOT(ISNUMBER(B357)),"Fecha no válida",IF(N(B357)&gt;TODAY(),"Fecha futura",IF(IFERROR(VLOOKUP(E357,LISTAS!$A$2:$C$65,3,FALSE),"")&lt;&gt;D357,"La subregión no corresponde al municipio",IF(IF(L357="",FALSE,OR(L357&lt;0,L357&gt;110)),"Edad fuera de rango",IF((V357="Sí")+(W357="Sí")+(X357="Sí")+(Y357="Sí")=0,"Marque al menos un tipo de violencia","OK")))))))</f>
        <v/>
      </c>
    </row>
    <row r="358">
      <c r="A358" s="12">
        <f>IF(OR(F358="",F358="Revisar",C358=""),"",F358&amp;"-"&amp;C358&amp;"-"&amp;TEXT(COUNTIFS($F$2:F358,F358,$C$2:C358,C358),"0000"))</f>
        <v/>
      </c>
      <c r="B358" s="13" t="n"/>
      <c r="C358" s="12">
        <f>IF(ISNUMBER(B358),YEAR(B358),"")</f>
        <v/>
      </c>
      <c r="D358" s="14" t="n"/>
      <c r="E358" s="14" t="n"/>
      <c r="F358" s="12">
        <f>IF(E358="","",IFERROR(VLOOKUP(E358,LISTAS!$A$2:$C$65,2,FALSE),"Revisar"))</f>
        <v/>
      </c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2">
        <f>IF(COUNTA(B358:B358)+COUNTA(D358:E358)+COUNTA(G358:AJ358)=0,"",IF(COUNTBLANK(B358:B358)+COUNTBLANK(D358:E358)+COUNTBLANK(G358:G358)+COUNTBLANK(O358:AJ358)&gt;0,"Faltan "&amp;(COUNTBLANK(B358:B358)+COUNTBLANK(D358:E358)+COUNTBLANK(G358:G358)+COUNTBLANK(O358:AJ358))&amp;" datos obligatorios",IF(NOT(ISNUMBER(B358)),"Fecha no válida",IF(N(B358)&gt;TODAY(),"Fecha futura",IF(IFERROR(VLOOKUP(E358,LISTAS!$A$2:$C$65,3,FALSE),"")&lt;&gt;D358,"La subregión no corresponde al municipio",IF(IF(L358="",FALSE,OR(L358&lt;0,L358&gt;110)),"Edad fuera de rango",IF((V358="Sí")+(W358="Sí")+(X358="Sí")+(Y358="Sí")=0,"Marque al menos un tipo de violencia","OK")))))))</f>
        <v/>
      </c>
    </row>
    <row r="359">
      <c r="A359" s="12">
        <f>IF(OR(F359="",F359="Revisar",C359=""),"",F359&amp;"-"&amp;C359&amp;"-"&amp;TEXT(COUNTIFS($F$2:F359,F359,$C$2:C359,C359),"0000"))</f>
        <v/>
      </c>
      <c r="B359" s="13" t="n"/>
      <c r="C359" s="12">
        <f>IF(ISNUMBER(B359),YEAR(B359),"")</f>
        <v/>
      </c>
      <c r="D359" s="14" t="n"/>
      <c r="E359" s="14" t="n"/>
      <c r="F359" s="12">
        <f>IF(E359="","",IFERROR(VLOOKUP(E359,LISTAS!$A$2:$C$65,2,FALSE),"Revisar"))</f>
        <v/>
      </c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2">
        <f>IF(COUNTA(B359:B359)+COUNTA(D359:E359)+COUNTA(G359:AJ359)=0,"",IF(COUNTBLANK(B359:B359)+COUNTBLANK(D359:E359)+COUNTBLANK(G359:G359)+COUNTBLANK(O359:AJ359)&gt;0,"Faltan "&amp;(COUNTBLANK(B359:B359)+COUNTBLANK(D359:E359)+COUNTBLANK(G359:G359)+COUNTBLANK(O359:AJ359))&amp;" datos obligatorios",IF(NOT(ISNUMBER(B359)),"Fecha no válida",IF(N(B359)&gt;TODAY(),"Fecha futura",IF(IFERROR(VLOOKUP(E359,LISTAS!$A$2:$C$65,3,FALSE),"")&lt;&gt;D359,"La subregión no corresponde al municipio",IF(IF(L359="",FALSE,OR(L359&lt;0,L359&gt;110)),"Edad fuera de rango",IF((V359="Sí")+(W359="Sí")+(X359="Sí")+(Y359="Sí")=0,"Marque al menos un tipo de violencia","OK")))))))</f>
        <v/>
      </c>
    </row>
    <row r="360">
      <c r="A360" s="12">
        <f>IF(OR(F360="",F360="Revisar",C360=""),"",F360&amp;"-"&amp;C360&amp;"-"&amp;TEXT(COUNTIFS($F$2:F360,F360,$C$2:C360,C360),"0000"))</f>
        <v/>
      </c>
      <c r="B360" s="13" t="n"/>
      <c r="C360" s="12">
        <f>IF(ISNUMBER(B360),YEAR(B360),"")</f>
        <v/>
      </c>
      <c r="D360" s="14" t="n"/>
      <c r="E360" s="14" t="n"/>
      <c r="F360" s="12">
        <f>IF(E360="","",IFERROR(VLOOKUP(E360,LISTAS!$A$2:$C$65,2,FALSE),"Revisar"))</f>
        <v/>
      </c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2">
        <f>IF(COUNTA(B360:B360)+COUNTA(D360:E360)+COUNTA(G360:AJ360)=0,"",IF(COUNTBLANK(B360:B360)+COUNTBLANK(D360:E360)+COUNTBLANK(G360:G360)+COUNTBLANK(O360:AJ360)&gt;0,"Faltan "&amp;(COUNTBLANK(B360:B360)+COUNTBLANK(D360:E360)+COUNTBLANK(G360:G360)+COUNTBLANK(O360:AJ360))&amp;" datos obligatorios",IF(NOT(ISNUMBER(B360)),"Fecha no válida",IF(N(B360)&gt;TODAY(),"Fecha futura",IF(IFERROR(VLOOKUP(E360,LISTAS!$A$2:$C$65,3,FALSE),"")&lt;&gt;D360,"La subregión no corresponde al municipio",IF(IF(L360="",FALSE,OR(L360&lt;0,L360&gt;110)),"Edad fuera de rango",IF((V360="Sí")+(W360="Sí")+(X360="Sí")+(Y360="Sí")=0,"Marque al menos un tipo de violencia","OK")))))))</f>
        <v/>
      </c>
    </row>
    <row r="361">
      <c r="A361" s="12">
        <f>IF(OR(F361="",F361="Revisar",C361=""),"",F361&amp;"-"&amp;C361&amp;"-"&amp;TEXT(COUNTIFS($F$2:F361,F361,$C$2:C361,C361),"0000"))</f>
        <v/>
      </c>
      <c r="B361" s="13" t="n"/>
      <c r="C361" s="12">
        <f>IF(ISNUMBER(B361),YEAR(B361),"")</f>
        <v/>
      </c>
      <c r="D361" s="14" t="n"/>
      <c r="E361" s="14" t="n"/>
      <c r="F361" s="12">
        <f>IF(E361="","",IFERROR(VLOOKUP(E361,LISTAS!$A$2:$C$65,2,FALSE),"Revisar"))</f>
        <v/>
      </c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2">
        <f>IF(COUNTA(B361:B361)+COUNTA(D361:E361)+COUNTA(G361:AJ361)=0,"",IF(COUNTBLANK(B361:B361)+COUNTBLANK(D361:E361)+COUNTBLANK(G361:G361)+COUNTBLANK(O361:AJ361)&gt;0,"Faltan "&amp;(COUNTBLANK(B361:B361)+COUNTBLANK(D361:E361)+COUNTBLANK(G361:G361)+COUNTBLANK(O361:AJ361))&amp;" datos obligatorios",IF(NOT(ISNUMBER(B361)),"Fecha no válida",IF(N(B361)&gt;TODAY(),"Fecha futura",IF(IFERROR(VLOOKUP(E361,LISTAS!$A$2:$C$65,3,FALSE),"")&lt;&gt;D361,"La subregión no corresponde al municipio",IF(IF(L361="",FALSE,OR(L361&lt;0,L361&gt;110)),"Edad fuera de rango",IF((V361="Sí")+(W361="Sí")+(X361="Sí")+(Y361="Sí")=0,"Marque al menos un tipo de violencia","OK")))))))</f>
        <v/>
      </c>
    </row>
    <row r="362">
      <c r="A362" s="12">
        <f>IF(OR(F362="",F362="Revisar",C362=""),"",F362&amp;"-"&amp;C362&amp;"-"&amp;TEXT(COUNTIFS($F$2:F362,F362,$C$2:C362,C362),"0000"))</f>
        <v/>
      </c>
      <c r="B362" s="13" t="n"/>
      <c r="C362" s="12">
        <f>IF(ISNUMBER(B362),YEAR(B362),"")</f>
        <v/>
      </c>
      <c r="D362" s="14" t="n"/>
      <c r="E362" s="14" t="n"/>
      <c r="F362" s="12">
        <f>IF(E362="","",IFERROR(VLOOKUP(E362,LISTAS!$A$2:$C$65,2,FALSE),"Revisar"))</f>
        <v/>
      </c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2">
        <f>IF(COUNTA(B362:B362)+COUNTA(D362:E362)+COUNTA(G362:AJ362)=0,"",IF(COUNTBLANK(B362:B362)+COUNTBLANK(D362:E362)+COUNTBLANK(G362:G362)+COUNTBLANK(O362:AJ362)&gt;0,"Faltan "&amp;(COUNTBLANK(B362:B362)+COUNTBLANK(D362:E362)+COUNTBLANK(G362:G362)+COUNTBLANK(O362:AJ362))&amp;" datos obligatorios",IF(NOT(ISNUMBER(B362)),"Fecha no válida",IF(N(B362)&gt;TODAY(),"Fecha futura",IF(IFERROR(VLOOKUP(E362,LISTAS!$A$2:$C$65,3,FALSE),"")&lt;&gt;D362,"La subregión no corresponde al municipio",IF(IF(L362="",FALSE,OR(L362&lt;0,L362&gt;110)),"Edad fuera de rango",IF((V362="Sí")+(W362="Sí")+(X362="Sí")+(Y362="Sí")=0,"Marque al menos un tipo de violencia","OK")))))))</f>
        <v/>
      </c>
    </row>
    <row r="363">
      <c r="A363" s="12">
        <f>IF(OR(F363="",F363="Revisar",C363=""),"",F363&amp;"-"&amp;C363&amp;"-"&amp;TEXT(COUNTIFS($F$2:F363,F363,$C$2:C363,C363),"0000"))</f>
        <v/>
      </c>
      <c r="B363" s="13" t="n"/>
      <c r="C363" s="12">
        <f>IF(ISNUMBER(B363),YEAR(B363),"")</f>
        <v/>
      </c>
      <c r="D363" s="14" t="n"/>
      <c r="E363" s="14" t="n"/>
      <c r="F363" s="12">
        <f>IF(E363="","",IFERROR(VLOOKUP(E363,LISTAS!$A$2:$C$65,2,FALSE),"Revisar"))</f>
        <v/>
      </c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2">
        <f>IF(COUNTA(B363:B363)+COUNTA(D363:E363)+COUNTA(G363:AJ363)=0,"",IF(COUNTBLANK(B363:B363)+COUNTBLANK(D363:E363)+COUNTBLANK(G363:G363)+COUNTBLANK(O363:AJ363)&gt;0,"Faltan "&amp;(COUNTBLANK(B363:B363)+COUNTBLANK(D363:E363)+COUNTBLANK(G363:G363)+COUNTBLANK(O363:AJ363))&amp;" datos obligatorios",IF(NOT(ISNUMBER(B363)),"Fecha no válida",IF(N(B363)&gt;TODAY(),"Fecha futura",IF(IFERROR(VLOOKUP(E363,LISTAS!$A$2:$C$65,3,FALSE),"")&lt;&gt;D363,"La subregión no corresponde al municipio",IF(IF(L363="",FALSE,OR(L363&lt;0,L363&gt;110)),"Edad fuera de rango",IF((V363="Sí")+(W363="Sí")+(X363="Sí")+(Y363="Sí")=0,"Marque al menos un tipo de violencia","OK")))))))</f>
        <v/>
      </c>
    </row>
    <row r="364">
      <c r="A364" s="12">
        <f>IF(OR(F364="",F364="Revisar",C364=""),"",F364&amp;"-"&amp;C364&amp;"-"&amp;TEXT(COUNTIFS($F$2:F364,F364,$C$2:C364,C364),"0000"))</f>
        <v/>
      </c>
      <c r="B364" s="13" t="n"/>
      <c r="C364" s="12">
        <f>IF(ISNUMBER(B364),YEAR(B364),"")</f>
        <v/>
      </c>
      <c r="D364" s="14" t="n"/>
      <c r="E364" s="14" t="n"/>
      <c r="F364" s="12">
        <f>IF(E364="","",IFERROR(VLOOKUP(E364,LISTAS!$A$2:$C$65,2,FALSE),"Revisar"))</f>
        <v/>
      </c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2">
        <f>IF(COUNTA(B364:B364)+COUNTA(D364:E364)+COUNTA(G364:AJ364)=0,"",IF(COUNTBLANK(B364:B364)+COUNTBLANK(D364:E364)+COUNTBLANK(G364:G364)+COUNTBLANK(O364:AJ364)&gt;0,"Faltan "&amp;(COUNTBLANK(B364:B364)+COUNTBLANK(D364:E364)+COUNTBLANK(G364:G364)+COUNTBLANK(O364:AJ364))&amp;" datos obligatorios",IF(NOT(ISNUMBER(B364)),"Fecha no válida",IF(N(B364)&gt;TODAY(),"Fecha futura",IF(IFERROR(VLOOKUP(E364,LISTAS!$A$2:$C$65,3,FALSE),"")&lt;&gt;D364,"La subregión no corresponde al municipio",IF(IF(L364="",FALSE,OR(L364&lt;0,L364&gt;110)),"Edad fuera de rango",IF((V364="Sí")+(W364="Sí")+(X364="Sí")+(Y364="Sí")=0,"Marque al menos un tipo de violencia","OK")))))))</f>
        <v/>
      </c>
    </row>
    <row r="365">
      <c r="A365" s="12">
        <f>IF(OR(F365="",F365="Revisar",C365=""),"",F365&amp;"-"&amp;C365&amp;"-"&amp;TEXT(COUNTIFS($F$2:F365,F365,$C$2:C365,C365),"0000"))</f>
        <v/>
      </c>
      <c r="B365" s="13" t="n"/>
      <c r="C365" s="12">
        <f>IF(ISNUMBER(B365),YEAR(B365),"")</f>
        <v/>
      </c>
      <c r="D365" s="14" t="n"/>
      <c r="E365" s="14" t="n"/>
      <c r="F365" s="12">
        <f>IF(E365="","",IFERROR(VLOOKUP(E365,LISTAS!$A$2:$C$65,2,FALSE),"Revisar"))</f>
        <v/>
      </c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2">
        <f>IF(COUNTA(B365:B365)+COUNTA(D365:E365)+COUNTA(G365:AJ365)=0,"",IF(COUNTBLANK(B365:B365)+COUNTBLANK(D365:E365)+COUNTBLANK(G365:G365)+COUNTBLANK(O365:AJ365)&gt;0,"Faltan "&amp;(COUNTBLANK(B365:B365)+COUNTBLANK(D365:E365)+COUNTBLANK(G365:G365)+COUNTBLANK(O365:AJ365))&amp;" datos obligatorios",IF(NOT(ISNUMBER(B365)),"Fecha no válida",IF(N(B365)&gt;TODAY(),"Fecha futura",IF(IFERROR(VLOOKUP(E365,LISTAS!$A$2:$C$65,3,FALSE),"")&lt;&gt;D365,"La subregión no corresponde al municipio",IF(IF(L365="",FALSE,OR(L365&lt;0,L365&gt;110)),"Edad fuera de rango",IF((V365="Sí")+(W365="Sí")+(X365="Sí")+(Y365="Sí")=0,"Marque al menos un tipo de violencia","OK")))))))</f>
        <v/>
      </c>
    </row>
    <row r="366">
      <c r="A366" s="12">
        <f>IF(OR(F366="",F366="Revisar",C366=""),"",F366&amp;"-"&amp;C366&amp;"-"&amp;TEXT(COUNTIFS($F$2:F366,F366,$C$2:C366,C366),"0000"))</f>
        <v/>
      </c>
      <c r="B366" s="13" t="n"/>
      <c r="C366" s="12">
        <f>IF(ISNUMBER(B366),YEAR(B366),"")</f>
        <v/>
      </c>
      <c r="D366" s="14" t="n"/>
      <c r="E366" s="14" t="n"/>
      <c r="F366" s="12">
        <f>IF(E366="","",IFERROR(VLOOKUP(E366,LISTAS!$A$2:$C$65,2,FALSE),"Revisar"))</f>
        <v/>
      </c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2">
        <f>IF(COUNTA(B366:B366)+COUNTA(D366:E366)+COUNTA(G366:AJ366)=0,"",IF(COUNTBLANK(B366:B366)+COUNTBLANK(D366:E366)+COUNTBLANK(G366:G366)+COUNTBLANK(O366:AJ366)&gt;0,"Faltan "&amp;(COUNTBLANK(B366:B366)+COUNTBLANK(D366:E366)+COUNTBLANK(G366:G366)+COUNTBLANK(O366:AJ366))&amp;" datos obligatorios",IF(NOT(ISNUMBER(B366)),"Fecha no válida",IF(N(B366)&gt;TODAY(),"Fecha futura",IF(IFERROR(VLOOKUP(E366,LISTAS!$A$2:$C$65,3,FALSE),"")&lt;&gt;D366,"La subregión no corresponde al municipio",IF(IF(L366="",FALSE,OR(L366&lt;0,L366&gt;110)),"Edad fuera de rango",IF((V366="Sí")+(W366="Sí")+(X366="Sí")+(Y366="Sí")=0,"Marque al menos un tipo de violencia","OK")))))))</f>
        <v/>
      </c>
    </row>
    <row r="367">
      <c r="A367" s="12">
        <f>IF(OR(F367="",F367="Revisar",C367=""),"",F367&amp;"-"&amp;C367&amp;"-"&amp;TEXT(COUNTIFS($F$2:F367,F367,$C$2:C367,C367),"0000"))</f>
        <v/>
      </c>
      <c r="B367" s="13" t="n"/>
      <c r="C367" s="12">
        <f>IF(ISNUMBER(B367),YEAR(B367),"")</f>
        <v/>
      </c>
      <c r="D367" s="14" t="n"/>
      <c r="E367" s="14" t="n"/>
      <c r="F367" s="12">
        <f>IF(E367="","",IFERROR(VLOOKUP(E367,LISTAS!$A$2:$C$65,2,FALSE),"Revisar"))</f>
        <v/>
      </c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2">
        <f>IF(COUNTA(B367:B367)+COUNTA(D367:E367)+COUNTA(G367:AJ367)=0,"",IF(COUNTBLANK(B367:B367)+COUNTBLANK(D367:E367)+COUNTBLANK(G367:G367)+COUNTBLANK(O367:AJ367)&gt;0,"Faltan "&amp;(COUNTBLANK(B367:B367)+COUNTBLANK(D367:E367)+COUNTBLANK(G367:G367)+COUNTBLANK(O367:AJ367))&amp;" datos obligatorios",IF(NOT(ISNUMBER(B367)),"Fecha no válida",IF(N(B367)&gt;TODAY(),"Fecha futura",IF(IFERROR(VLOOKUP(E367,LISTAS!$A$2:$C$65,3,FALSE),"")&lt;&gt;D367,"La subregión no corresponde al municipio",IF(IF(L367="",FALSE,OR(L367&lt;0,L367&gt;110)),"Edad fuera de rango",IF((V367="Sí")+(W367="Sí")+(X367="Sí")+(Y367="Sí")=0,"Marque al menos un tipo de violencia","OK")))))))</f>
        <v/>
      </c>
    </row>
    <row r="368">
      <c r="A368" s="12">
        <f>IF(OR(F368="",F368="Revisar",C368=""),"",F368&amp;"-"&amp;C368&amp;"-"&amp;TEXT(COUNTIFS($F$2:F368,F368,$C$2:C368,C368),"0000"))</f>
        <v/>
      </c>
      <c r="B368" s="13" t="n"/>
      <c r="C368" s="12">
        <f>IF(ISNUMBER(B368),YEAR(B368),"")</f>
        <v/>
      </c>
      <c r="D368" s="14" t="n"/>
      <c r="E368" s="14" t="n"/>
      <c r="F368" s="12">
        <f>IF(E368="","",IFERROR(VLOOKUP(E368,LISTAS!$A$2:$C$65,2,FALSE),"Revisar"))</f>
        <v/>
      </c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2">
        <f>IF(COUNTA(B368:B368)+COUNTA(D368:E368)+COUNTA(G368:AJ368)=0,"",IF(COUNTBLANK(B368:B368)+COUNTBLANK(D368:E368)+COUNTBLANK(G368:G368)+COUNTBLANK(O368:AJ368)&gt;0,"Faltan "&amp;(COUNTBLANK(B368:B368)+COUNTBLANK(D368:E368)+COUNTBLANK(G368:G368)+COUNTBLANK(O368:AJ368))&amp;" datos obligatorios",IF(NOT(ISNUMBER(B368)),"Fecha no válida",IF(N(B368)&gt;TODAY(),"Fecha futura",IF(IFERROR(VLOOKUP(E368,LISTAS!$A$2:$C$65,3,FALSE),"")&lt;&gt;D368,"La subregión no corresponde al municipio",IF(IF(L368="",FALSE,OR(L368&lt;0,L368&gt;110)),"Edad fuera de rango",IF((V368="Sí")+(W368="Sí")+(X368="Sí")+(Y368="Sí")=0,"Marque al menos un tipo de violencia","OK")))))))</f>
        <v/>
      </c>
    </row>
    <row r="369">
      <c r="A369" s="12">
        <f>IF(OR(F369="",F369="Revisar",C369=""),"",F369&amp;"-"&amp;C369&amp;"-"&amp;TEXT(COUNTIFS($F$2:F369,F369,$C$2:C369,C369),"0000"))</f>
        <v/>
      </c>
      <c r="B369" s="13" t="n"/>
      <c r="C369" s="12">
        <f>IF(ISNUMBER(B369),YEAR(B369),"")</f>
        <v/>
      </c>
      <c r="D369" s="14" t="n"/>
      <c r="E369" s="14" t="n"/>
      <c r="F369" s="12">
        <f>IF(E369="","",IFERROR(VLOOKUP(E369,LISTAS!$A$2:$C$65,2,FALSE),"Revisar"))</f>
        <v/>
      </c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2">
        <f>IF(COUNTA(B369:B369)+COUNTA(D369:E369)+COUNTA(G369:AJ369)=0,"",IF(COUNTBLANK(B369:B369)+COUNTBLANK(D369:E369)+COUNTBLANK(G369:G369)+COUNTBLANK(O369:AJ369)&gt;0,"Faltan "&amp;(COUNTBLANK(B369:B369)+COUNTBLANK(D369:E369)+COUNTBLANK(G369:G369)+COUNTBLANK(O369:AJ369))&amp;" datos obligatorios",IF(NOT(ISNUMBER(B369)),"Fecha no válida",IF(N(B369)&gt;TODAY(),"Fecha futura",IF(IFERROR(VLOOKUP(E369,LISTAS!$A$2:$C$65,3,FALSE),"")&lt;&gt;D369,"La subregión no corresponde al municipio",IF(IF(L369="",FALSE,OR(L369&lt;0,L369&gt;110)),"Edad fuera de rango",IF((V369="Sí")+(W369="Sí")+(X369="Sí")+(Y369="Sí")=0,"Marque al menos un tipo de violencia","OK")))))))</f>
        <v/>
      </c>
    </row>
    <row r="370">
      <c r="A370" s="12">
        <f>IF(OR(F370="",F370="Revisar",C370=""),"",F370&amp;"-"&amp;C370&amp;"-"&amp;TEXT(COUNTIFS($F$2:F370,F370,$C$2:C370,C370),"0000"))</f>
        <v/>
      </c>
      <c r="B370" s="13" t="n"/>
      <c r="C370" s="12">
        <f>IF(ISNUMBER(B370),YEAR(B370),"")</f>
        <v/>
      </c>
      <c r="D370" s="14" t="n"/>
      <c r="E370" s="14" t="n"/>
      <c r="F370" s="12">
        <f>IF(E370="","",IFERROR(VLOOKUP(E370,LISTAS!$A$2:$C$65,2,FALSE),"Revisar"))</f>
        <v/>
      </c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2">
        <f>IF(COUNTA(B370:B370)+COUNTA(D370:E370)+COUNTA(G370:AJ370)=0,"",IF(COUNTBLANK(B370:B370)+COUNTBLANK(D370:E370)+COUNTBLANK(G370:G370)+COUNTBLANK(O370:AJ370)&gt;0,"Faltan "&amp;(COUNTBLANK(B370:B370)+COUNTBLANK(D370:E370)+COUNTBLANK(G370:G370)+COUNTBLANK(O370:AJ370))&amp;" datos obligatorios",IF(NOT(ISNUMBER(B370)),"Fecha no válida",IF(N(B370)&gt;TODAY(),"Fecha futura",IF(IFERROR(VLOOKUP(E370,LISTAS!$A$2:$C$65,3,FALSE),"")&lt;&gt;D370,"La subregión no corresponde al municipio",IF(IF(L370="",FALSE,OR(L370&lt;0,L370&gt;110)),"Edad fuera de rango",IF((V370="Sí")+(W370="Sí")+(X370="Sí")+(Y370="Sí")=0,"Marque al menos un tipo de violencia","OK")))))))</f>
        <v/>
      </c>
    </row>
    <row r="371">
      <c r="A371" s="12">
        <f>IF(OR(F371="",F371="Revisar",C371=""),"",F371&amp;"-"&amp;C371&amp;"-"&amp;TEXT(COUNTIFS($F$2:F371,F371,$C$2:C371,C371),"0000"))</f>
        <v/>
      </c>
      <c r="B371" s="13" t="n"/>
      <c r="C371" s="12">
        <f>IF(ISNUMBER(B371),YEAR(B371),"")</f>
        <v/>
      </c>
      <c r="D371" s="14" t="n"/>
      <c r="E371" s="14" t="n"/>
      <c r="F371" s="12">
        <f>IF(E371="","",IFERROR(VLOOKUP(E371,LISTAS!$A$2:$C$65,2,FALSE),"Revisar"))</f>
        <v/>
      </c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2">
        <f>IF(COUNTA(B371:B371)+COUNTA(D371:E371)+COUNTA(G371:AJ371)=0,"",IF(COUNTBLANK(B371:B371)+COUNTBLANK(D371:E371)+COUNTBLANK(G371:G371)+COUNTBLANK(O371:AJ371)&gt;0,"Faltan "&amp;(COUNTBLANK(B371:B371)+COUNTBLANK(D371:E371)+COUNTBLANK(G371:G371)+COUNTBLANK(O371:AJ371))&amp;" datos obligatorios",IF(NOT(ISNUMBER(B371)),"Fecha no válida",IF(N(B371)&gt;TODAY(),"Fecha futura",IF(IFERROR(VLOOKUP(E371,LISTAS!$A$2:$C$65,3,FALSE),"")&lt;&gt;D371,"La subregión no corresponde al municipio",IF(IF(L371="",FALSE,OR(L371&lt;0,L371&gt;110)),"Edad fuera de rango",IF((V371="Sí")+(W371="Sí")+(X371="Sí")+(Y371="Sí")=0,"Marque al menos un tipo de violencia","OK")))))))</f>
        <v/>
      </c>
    </row>
    <row r="372">
      <c r="A372" s="12">
        <f>IF(OR(F372="",F372="Revisar",C372=""),"",F372&amp;"-"&amp;C372&amp;"-"&amp;TEXT(COUNTIFS($F$2:F372,F372,$C$2:C372,C372),"0000"))</f>
        <v/>
      </c>
      <c r="B372" s="13" t="n"/>
      <c r="C372" s="12">
        <f>IF(ISNUMBER(B372),YEAR(B372),"")</f>
        <v/>
      </c>
      <c r="D372" s="14" t="n"/>
      <c r="E372" s="14" t="n"/>
      <c r="F372" s="12">
        <f>IF(E372="","",IFERROR(VLOOKUP(E372,LISTAS!$A$2:$C$65,2,FALSE),"Revisar"))</f>
        <v/>
      </c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2">
        <f>IF(COUNTA(B372:B372)+COUNTA(D372:E372)+COUNTA(G372:AJ372)=0,"",IF(COUNTBLANK(B372:B372)+COUNTBLANK(D372:E372)+COUNTBLANK(G372:G372)+COUNTBLANK(O372:AJ372)&gt;0,"Faltan "&amp;(COUNTBLANK(B372:B372)+COUNTBLANK(D372:E372)+COUNTBLANK(G372:G372)+COUNTBLANK(O372:AJ372))&amp;" datos obligatorios",IF(NOT(ISNUMBER(B372)),"Fecha no válida",IF(N(B372)&gt;TODAY(),"Fecha futura",IF(IFERROR(VLOOKUP(E372,LISTAS!$A$2:$C$65,3,FALSE),"")&lt;&gt;D372,"La subregión no corresponde al municipio",IF(IF(L372="",FALSE,OR(L372&lt;0,L372&gt;110)),"Edad fuera de rango",IF((V372="Sí")+(W372="Sí")+(X372="Sí")+(Y372="Sí")=0,"Marque al menos un tipo de violencia","OK")))))))</f>
        <v/>
      </c>
    </row>
    <row r="373">
      <c r="A373" s="12">
        <f>IF(OR(F373="",F373="Revisar",C373=""),"",F373&amp;"-"&amp;C373&amp;"-"&amp;TEXT(COUNTIFS($F$2:F373,F373,$C$2:C373,C373),"0000"))</f>
        <v/>
      </c>
      <c r="B373" s="13" t="n"/>
      <c r="C373" s="12">
        <f>IF(ISNUMBER(B373),YEAR(B373),"")</f>
        <v/>
      </c>
      <c r="D373" s="14" t="n"/>
      <c r="E373" s="14" t="n"/>
      <c r="F373" s="12">
        <f>IF(E373="","",IFERROR(VLOOKUP(E373,LISTAS!$A$2:$C$65,2,FALSE),"Revisar"))</f>
        <v/>
      </c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2">
        <f>IF(COUNTA(B373:B373)+COUNTA(D373:E373)+COUNTA(G373:AJ373)=0,"",IF(COUNTBLANK(B373:B373)+COUNTBLANK(D373:E373)+COUNTBLANK(G373:G373)+COUNTBLANK(O373:AJ373)&gt;0,"Faltan "&amp;(COUNTBLANK(B373:B373)+COUNTBLANK(D373:E373)+COUNTBLANK(G373:G373)+COUNTBLANK(O373:AJ373))&amp;" datos obligatorios",IF(NOT(ISNUMBER(B373)),"Fecha no válida",IF(N(B373)&gt;TODAY(),"Fecha futura",IF(IFERROR(VLOOKUP(E373,LISTAS!$A$2:$C$65,3,FALSE),"")&lt;&gt;D373,"La subregión no corresponde al municipio",IF(IF(L373="",FALSE,OR(L373&lt;0,L373&gt;110)),"Edad fuera de rango",IF((V373="Sí")+(W373="Sí")+(X373="Sí")+(Y373="Sí")=0,"Marque al menos un tipo de violencia","OK")))))))</f>
        <v/>
      </c>
    </row>
    <row r="374">
      <c r="A374" s="12">
        <f>IF(OR(F374="",F374="Revisar",C374=""),"",F374&amp;"-"&amp;C374&amp;"-"&amp;TEXT(COUNTIFS($F$2:F374,F374,$C$2:C374,C374),"0000"))</f>
        <v/>
      </c>
      <c r="B374" s="13" t="n"/>
      <c r="C374" s="12">
        <f>IF(ISNUMBER(B374),YEAR(B374),"")</f>
        <v/>
      </c>
      <c r="D374" s="14" t="n"/>
      <c r="E374" s="14" t="n"/>
      <c r="F374" s="12">
        <f>IF(E374="","",IFERROR(VLOOKUP(E374,LISTAS!$A$2:$C$65,2,FALSE),"Revisar"))</f>
        <v/>
      </c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2">
        <f>IF(COUNTA(B374:B374)+COUNTA(D374:E374)+COUNTA(G374:AJ374)=0,"",IF(COUNTBLANK(B374:B374)+COUNTBLANK(D374:E374)+COUNTBLANK(G374:G374)+COUNTBLANK(O374:AJ374)&gt;0,"Faltan "&amp;(COUNTBLANK(B374:B374)+COUNTBLANK(D374:E374)+COUNTBLANK(G374:G374)+COUNTBLANK(O374:AJ374))&amp;" datos obligatorios",IF(NOT(ISNUMBER(B374)),"Fecha no válida",IF(N(B374)&gt;TODAY(),"Fecha futura",IF(IFERROR(VLOOKUP(E374,LISTAS!$A$2:$C$65,3,FALSE),"")&lt;&gt;D374,"La subregión no corresponde al municipio",IF(IF(L374="",FALSE,OR(L374&lt;0,L374&gt;110)),"Edad fuera de rango",IF((V374="Sí")+(W374="Sí")+(X374="Sí")+(Y374="Sí")=0,"Marque al menos un tipo de violencia","OK")))))))</f>
        <v/>
      </c>
    </row>
    <row r="375">
      <c r="A375" s="12">
        <f>IF(OR(F375="",F375="Revisar",C375=""),"",F375&amp;"-"&amp;C375&amp;"-"&amp;TEXT(COUNTIFS($F$2:F375,F375,$C$2:C375,C375),"0000"))</f>
        <v/>
      </c>
      <c r="B375" s="13" t="n"/>
      <c r="C375" s="12">
        <f>IF(ISNUMBER(B375),YEAR(B375),"")</f>
        <v/>
      </c>
      <c r="D375" s="14" t="n"/>
      <c r="E375" s="14" t="n"/>
      <c r="F375" s="12">
        <f>IF(E375="","",IFERROR(VLOOKUP(E375,LISTAS!$A$2:$C$65,2,FALSE),"Revisar"))</f>
        <v/>
      </c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2">
        <f>IF(COUNTA(B375:B375)+COUNTA(D375:E375)+COUNTA(G375:AJ375)=0,"",IF(COUNTBLANK(B375:B375)+COUNTBLANK(D375:E375)+COUNTBLANK(G375:G375)+COUNTBLANK(O375:AJ375)&gt;0,"Faltan "&amp;(COUNTBLANK(B375:B375)+COUNTBLANK(D375:E375)+COUNTBLANK(G375:G375)+COUNTBLANK(O375:AJ375))&amp;" datos obligatorios",IF(NOT(ISNUMBER(B375)),"Fecha no válida",IF(N(B375)&gt;TODAY(),"Fecha futura",IF(IFERROR(VLOOKUP(E375,LISTAS!$A$2:$C$65,3,FALSE),"")&lt;&gt;D375,"La subregión no corresponde al municipio",IF(IF(L375="",FALSE,OR(L375&lt;0,L375&gt;110)),"Edad fuera de rango",IF((V375="Sí")+(W375="Sí")+(X375="Sí")+(Y375="Sí")=0,"Marque al menos un tipo de violencia","OK")))))))</f>
        <v/>
      </c>
    </row>
    <row r="376">
      <c r="A376" s="12">
        <f>IF(OR(F376="",F376="Revisar",C376=""),"",F376&amp;"-"&amp;C376&amp;"-"&amp;TEXT(COUNTIFS($F$2:F376,F376,$C$2:C376,C376),"0000"))</f>
        <v/>
      </c>
      <c r="B376" s="13" t="n"/>
      <c r="C376" s="12">
        <f>IF(ISNUMBER(B376),YEAR(B376),"")</f>
        <v/>
      </c>
      <c r="D376" s="14" t="n"/>
      <c r="E376" s="14" t="n"/>
      <c r="F376" s="12">
        <f>IF(E376="","",IFERROR(VLOOKUP(E376,LISTAS!$A$2:$C$65,2,FALSE),"Revisar"))</f>
        <v/>
      </c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2">
        <f>IF(COUNTA(B376:B376)+COUNTA(D376:E376)+COUNTA(G376:AJ376)=0,"",IF(COUNTBLANK(B376:B376)+COUNTBLANK(D376:E376)+COUNTBLANK(G376:G376)+COUNTBLANK(O376:AJ376)&gt;0,"Faltan "&amp;(COUNTBLANK(B376:B376)+COUNTBLANK(D376:E376)+COUNTBLANK(G376:G376)+COUNTBLANK(O376:AJ376))&amp;" datos obligatorios",IF(NOT(ISNUMBER(B376)),"Fecha no válida",IF(N(B376)&gt;TODAY(),"Fecha futura",IF(IFERROR(VLOOKUP(E376,LISTAS!$A$2:$C$65,3,FALSE),"")&lt;&gt;D376,"La subregión no corresponde al municipio",IF(IF(L376="",FALSE,OR(L376&lt;0,L376&gt;110)),"Edad fuera de rango",IF((V376="Sí")+(W376="Sí")+(X376="Sí")+(Y376="Sí")=0,"Marque al menos un tipo de violencia","OK")))))))</f>
        <v/>
      </c>
    </row>
    <row r="377">
      <c r="A377" s="12">
        <f>IF(OR(F377="",F377="Revisar",C377=""),"",F377&amp;"-"&amp;C377&amp;"-"&amp;TEXT(COUNTIFS($F$2:F377,F377,$C$2:C377,C377),"0000"))</f>
        <v/>
      </c>
      <c r="B377" s="13" t="n"/>
      <c r="C377" s="12">
        <f>IF(ISNUMBER(B377),YEAR(B377),"")</f>
        <v/>
      </c>
      <c r="D377" s="14" t="n"/>
      <c r="E377" s="14" t="n"/>
      <c r="F377" s="12">
        <f>IF(E377="","",IFERROR(VLOOKUP(E377,LISTAS!$A$2:$C$65,2,FALSE),"Revisar"))</f>
        <v/>
      </c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2">
        <f>IF(COUNTA(B377:B377)+COUNTA(D377:E377)+COUNTA(G377:AJ377)=0,"",IF(COUNTBLANK(B377:B377)+COUNTBLANK(D377:E377)+COUNTBLANK(G377:G377)+COUNTBLANK(O377:AJ377)&gt;0,"Faltan "&amp;(COUNTBLANK(B377:B377)+COUNTBLANK(D377:E377)+COUNTBLANK(G377:G377)+COUNTBLANK(O377:AJ377))&amp;" datos obligatorios",IF(NOT(ISNUMBER(B377)),"Fecha no válida",IF(N(B377)&gt;TODAY(),"Fecha futura",IF(IFERROR(VLOOKUP(E377,LISTAS!$A$2:$C$65,3,FALSE),"")&lt;&gt;D377,"La subregión no corresponde al municipio",IF(IF(L377="",FALSE,OR(L377&lt;0,L377&gt;110)),"Edad fuera de rango",IF((V377="Sí")+(W377="Sí")+(X377="Sí")+(Y377="Sí")=0,"Marque al menos un tipo de violencia","OK")))))))</f>
        <v/>
      </c>
    </row>
    <row r="378">
      <c r="A378" s="12">
        <f>IF(OR(F378="",F378="Revisar",C378=""),"",F378&amp;"-"&amp;C378&amp;"-"&amp;TEXT(COUNTIFS($F$2:F378,F378,$C$2:C378,C378),"0000"))</f>
        <v/>
      </c>
      <c r="B378" s="13" t="n"/>
      <c r="C378" s="12">
        <f>IF(ISNUMBER(B378),YEAR(B378),"")</f>
        <v/>
      </c>
      <c r="D378" s="14" t="n"/>
      <c r="E378" s="14" t="n"/>
      <c r="F378" s="12">
        <f>IF(E378="","",IFERROR(VLOOKUP(E378,LISTAS!$A$2:$C$65,2,FALSE),"Revisar"))</f>
        <v/>
      </c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2">
        <f>IF(COUNTA(B378:B378)+COUNTA(D378:E378)+COUNTA(G378:AJ378)=0,"",IF(COUNTBLANK(B378:B378)+COUNTBLANK(D378:E378)+COUNTBLANK(G378:G378)+COUNTBLANK(O378:AJ378)&gt;0,"Faltan "&amp;(COUNTBLANK(B378:B378)+COUNTBLANK(D378:E378)+COUNTBLANK(G378:G378)+COUNTBLANK(O378:AJ378))&amp;" datos obligatorios",IF(NOT(ISNUMBER(B378)),"Fecha no válida",IF(N(B378)&gt;TODAY(),"Fecha futura",IF(IFERROR(VLOOKUP(E378,LISTAS!$A$2:$C$65,3,FALSE),"")&lt;&gt;D378,"La subregión no corresponde al municipio",IF(IF(L378="",FALSE,OR(L378&lt;0,L378&gt;110)),"Edad fuera de rango",IF((V378="Sí")+(W378="Sí")+(X378="Sí")+(Y378="Sí")=0,"Marque al menos un tipo de violencia","OK")))))))</f>
        <v/>
      </c>
    </row>
    <row r="379">
      <c r="A379" s="12">
        <f>IF(OR(F379="",F379="Revisar",C379=""),"",F379&amp;"-"&amp;C379&amp;"-"&amp;TEXT(COUNTIFS($F$2:F379,F379,$C$2:C379,C379),"0000"))</f>
        <v/>
      </c>
      <c r="B379" s="13" t="n"/>
      <c r="C379" s="12">
        <f>IF(ISNUMBER(B379),YEAR(B379),"")</f>
        <v/>
      </c>
      <c r="D379" s="14" t="n"/>
      <c r="E379" s="14" t="n"/>
      <c r="F379" s="12">
        <f>IF(E379="","",IFERROR(VLOOKUP(E379,LISTAS!$A$2:$C$65,2,FALSE),"Revisar"))</f>
        <v/>
      </c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2">
        <f>IF(COUNTA(B379:B379)+COUNTA(D379:E379)+COUNTA(G379:AJ379)=0,"",IF(COUNTBLANK(B379:B379)+COUNTBLANK(D379:E379)+COUNTBLANK(G379:G379)+COUNTBLANK(O379:AJ379)&gt;0,"Faltan "&amp;(COUNTBLANK(B379:B379)+COUNTBLANK(D379:E379)+COUNTBLANK(G379:G379)+COUNTBLANK(O379:AJ379))&amp;" datos obligatorios",IF(NOT(ISNUMBER(B379)),"Fecha no válida",IF(N(B379)&gt;TODAY(),"Fecha futura",IF(IFERROR(VLOOKUP(E379,LISTAS!$A$2:$C$65,3,FALSE),"")&lt;&gt;D379,"La subregión no corresponde al municipio",IF(IF(L379="",FALSE,OR(L379&lt;0,L379&gt;110)),"Edad fuera de rango",IF((V379="Sí")+(W379="Sí")+(X379="Sí")+(Y379="Sí")=0,"Marque al menos un tipo de violencia","OK")))))))</f>
        <v/>
      </c>
    </row>
    <row r="380">
      <c r="A380" s="12">
        <f>IF(OR(F380="",F380="Revisar",C380=""),"",F380&amp;"-"&amp;C380&amp;"-"&amp;TEXT(COUNTIFS($F$2:F380,F380,$C$2:C380,C380),"0000"))</f>
        <v/>
      </c>
      <c r="B380" s="13" t="n"/>
      <c r="C380" s="12">
        <f>IF(ISNUMBER(B380),YEAR(B380),"")</f>
        <v/>
      </c>
      <c r="D380" s="14" t="n"/>
      <c r="E380" s="14" t="n"/>
      <c r="F380" s="12">
        <f>IF(E380="","",IFERROR(VLOOKUP(E380,LISTAS!$A$2:$C$65,2,FALSE),"Revisar"))</f>
        <v/>
      </c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2">
        <f>IF(COUNTA(B380:B380)+COUNTA(D380:E380)+COUNTA(G380:AJ380)=0,"",IF(COUNTBLANK(B380:B380)+COUNTBLANK(D380:E380)+COUNTBLANK(G380:G380)+COUNTBLANK(O380:AJ380)&gt;0,"Faltan "&amp;(COUNTBLANK(B380:B380)+COUNTBLANK(D380:E380)+COUNTBLANK(G380:G380)+COUNTBLANK(O380:AJ380))&amp;" datos obligatorios",IF(NOT(ISNUMBER(B380)),"Fecha no válida",IF(N(B380)&gt;TODAY(),"Fecha futura",IF(IFERROR(VLOOKUP(E380,LISTAS!$A$2:$C$65,3,FALSE),"")&lt;&gt;D380,"La subregión no corresponde al municipio",IF(IF(L380="",FALSE,OR(L380&lt;0,L380&gt;110)),"Edad fuera de rango",IF((V380="Sí")+(W380="Sí")+(X380="Sí")+(Y380="Sí")=0,"Marque al menos un tipo de violencia","OK")))))))</f>
        <v/>
      </c>
    </row>
    <row r="381">
      <c r="A381" s="12">
        <f>IF(OR(F381="",F381="Revisar",C381=""),"",F381&amp;"-"&amp;C381&amp;"-"&amp;TEXT(COUNTIFS($F$2:F381,F381,$C$2:C381,C381),"0000"))</f>
        <v/>
      </c>
      <c r="B381" s="13" t="n"/>
      <c r="C381" s="12">
        <f>IF(ISNUMBER(B381),YEAR(B381),"")</f>
        <v/>
      </c>
      <c r="D381" s="14" t="n"/>
      <c r="E381" s="14" t="n"/>
      <c r="F381" s="12">
        <f>IF(E381="","",IFERROR(VLOOKUP(E381,LISTAS!$A$2:$C$65,2,FALSE),"Revisar"))</f>
        <v/>
      </c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2">
        <f>IF(COUNTA(B381:B381)+COUNTA(D381:E381)+COUNTA(G381:AJ381)=0,"",IF(COUNTBLANK(B381:B381)+COUNTBLANK(D381:E381)+COUNTBLANK(G381:G381)+COUNTBLANK(O381:AJ381)&gt;0,"Faltan "&amp;(COUNTBLANK(B381:B381)+COUNTBLANK(D381:E381)+COUNTBLANK(G381:G381)+COUNTBLANK(O381:AJ381))&amp;" datos obligatorios",IF(NOT(ISNUMBER(B381)),"Fecha no válida",IF(N(B381)&gt;TODAY(),"Fecha futura",IF(IFERROR(VLOOKUP(E381,LISTAS!$A$2:$C$65,3,FALSE),"")&lt;&gt;D381,"La subregión no corresponde al municipio",IF(IF(L381="",FALSE,OR(L381&lt;0,L381&gt;110)),"Edad fuera de rango",IF((V381="Sí")+(W381="Sí")+(X381="Sí")+(Y381="Sí")=0,"Marque al menos un tipo de violencia","OK")))))))</f>
        <v/>
      </c>
    </row>
    <row r="382">
      <c r="A382" s="12">
        <f>IF(OR(F382="",F382="Revisar",C382=""),"",F382&amp;"-"&amp;C382&amp;"-"&amp;TEXT(COUNTIFS($F$2:F382,F382,$C$2:C382,C382),"0000"))</f>
        <v/>
      </c>
      <c r="B382" s="13" t="n"/>
      <c r="C382" s="12">
        <f>IF(ISNUMBER(B382),YEAR(B382),"")</f>
        <v/>
      </c>
      <c r="D382" s="14" t="n"/>
      <c r="E382" s="14" t="n"/>
      <c r="F382" s="12">
        <f>IF(E382="","",IFERROR(VLOOKUP(E382,LISTAS!$A$2:$C$65,2,FALSE),"Revisar"))</f>
        <v/>
      </c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2">
        <f>IF(COUNTA(B382:B382)+COUNTA(D382:E382)+COUNTA(G382:AJ382)=0,"",IF(COUNTBLANK(B382:B382)+COUNTBLANK(D382:E382)+COUNTBLANK(G382:G382)+COUNTBLANK(O382:AJ382)&gt;0,"Faltan "&amp;(COUNTBLANK(B382:B382)+COUNTBLANK(D382:E382)+COUNTBLANK(G382:G382)+COUNTBLANK(O382:AJ382))&amp;" datos obligatorios",IF(NOT(ISNUMBER(B382)),"Fecha no válida",IF(N(B382)&gt;TODAY(),"Fecha futura",IF(IFERROR(VLOOKUP(E382,LISTAS!$A$2:$C$65,3,FALSE),"")&lt;&gt;D382,"La subregión no corresponde al municipio",IF(IF(L382="",FALSE,OR(L382&lt;0,L382&gt;110)),"Edad fuera de rango",IF((V382="Sí")+(W382="Sí")+(X382="Sí")+(Y382="Sí")=0,"Marque al menos un tipo de violencia","OK")))))))</f>
        <v/>
      </c>
    </row>
    <row r="383">
      <c r="A383" s="12">
        <f>IF(OR(F383="",F383="Revisar",C383=""),"",F383&amp;"-"&amp;C383&amp;"-"&amp;TEXT(COUNTIFS($F$2:F383,F383,$C$2:C383,C383),"0000"))</f>
        <v/>
      </c>
      <c r="B383" s="13" t="n"/>
      <c r="C383" s="12">
        <f>IF(ISNUMBER(B383),YEAR(B383),"")</f>
        <v/>
      </c>
      <c r="D383" s="14" t="n"/>
      <c r="E383" s="14" t="n"/>
      <c r="F383" s="12">
        <f>IF(E383="","",IFERROR(VLOOKUP(E383,LISTAS!$A$2:$C$65,2,FALSE),"Revisar"))</f>
        <v/>
      </c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2">
        <f>IF(COUNTA(B383:B383)+COUNTA(D383:E383)+COUNTA(G383:AJ383)=0,"",IF(COUNTBLANK(B383:B383)+COUNTBLANK(D383:E383)+COUNTBLANK(G383:G383)+COUNTBLANK(O383:AJ383)&gt;0,"Faltan "&amp;(COUNTBLANK(B383:B383)+COUNTBLANK(D383:E383)+COUNTBLANK(G383:G383)+COUNTBLANK(O383:AJ383))&amp;" datos obligatorios",IF(NOT(ISNUMBER(B383)),"Fecha no válida",IF(N(B383)&gt;TODAY(),"Fecha futura",IF(IFERROR(VLOOKUP(E383,LISTAS!$A$2:$C$65,3,FALSE),"")&lt;&gt;D383,"La subregión no corresponde al municipio",IF(IF(L383="",FALSE,OR(L383&lt;0,L383&gt;110)),"Edad fuera de rango",IF((V383="Sí")+(W383="Sí")+(X383="Sí")+(Y383="Sí")=0,"Marque al menos un tipo de violencia","OK")))))))</f>
        <v/>
      </c>
    </row>
    <row r="384">
      <c r="A384" s="12">
        <f>IF(OR(F384="",F384="Revisar",C384=""),"",F384&amp;"-"&amp;C384&amp;"-"&amp;TEXT(COUNTIFS($F$2:F384,F384,$C$2:C384,C384),"0000"))</f>
        <v/>
      </c>
      <c r="B384" s="13" t="n"/>
      <c r="C384" s="12">
        <f>IF(ISNUMBER(B384),YEAR(B384),"")</f>
        <v/>
      </c>
      <c r="D384" s="14" t="n"/>
      <c r="E384" s="14" t="n"/>
      <c r="F384" s="12">
        <f>IF(E384="","",IFERROR(VLOOKUP(E384,LISTAS!$A$2:$C$65,2,FALSE),"Revisar"))</f>
        <v/>
      </c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2">
        <f>IF(COUNTA(B384:B384)+COUNTA(D384:E384)+COUNTA(G384:AJ384)=0,"",IF(COUNTBLANK(B384:B384)+COUNTBLANK(D384:E384)+COUNTBLANK(G384:G384)+COUNTBLANK(O384:AJ384)&gt;0,"Faltan "&amp;(COUNTBLANK(B384:B384)+COUNTBLANK(D384:E384)+COUNTBLANK(G384:G384)+COUNTBLANK(O384:AJ384))&amp;" datos obligatorios",IF(NOT(ISNUMBER(B384)),"Fecha no válida",IF(N(B384)&gt;TODAY(),"Fecha futura",IF(IFERROR(VLOOKUP(E384,LISTAS!$A$2:$C$65,3,FALSE),"")&lt;&gt;D384,"La subregión no corresponde al municipio",IF(IF(L384="",FALSE,OR(L384&lt;0,L384&gt;110)),"Edad fuera de rango",IF((V384="Sí")+(W384="Sí")+(X384="Sí")+(Y384="Sí")=0,"Marque al menos un tipo de violencia","OK")))))))</f>
        <v/>
      </c>
    </row>
    <row r="385">
      <c r="A385" s="12">
        <f>IF(OR(F385="",F385="Revisar",C385=""),"",F385&amp;"-"&amp;C385&amp;"-"&amp;TEXT(COUNTIFS($F$2:F385,F385,$C$2:C385,C385),"0000"))</f>
        <v/>
      </c>
      <c r="B385" s="13" t="n"/>
      <c r="C385" s="12">
        <f>IF(ISNUMBER(B385),YEAR(B385),"")</f>
        <v/>
      </c>
      <c r="D385" s="14" t="n"/>
      <c r="E385" s="14" t="n"/>
      <c r="F385" s="12">
        <f>IF(E385="","",IFERROR(VLOOKUP(E385,LISTAS!$A$2:$C$65,2,FALSE),"Revisar"))</f>
        <v/>
      </c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2">
        <f>IF(COUNTA(B385:B385)+COUNTA(D385:E385)+COUNTA(G385:AJ385)=0,"",IF(COUNTBLANK(B385:B385)+COUNTBLANK(D385:E385)+COUNTBLANK(G385:G385)+COUNTBLANK(O385:AJ385)&gt;0,"Faltan "&amp;(COUNTBLANK(B385:B385)+COUNTBLANK(D385:E385)+COUNTBLANK(G385:G385)+COUNTBLANK(O385:AJ385))&amp;" datos obligatorios",IF(NOT(ISNUMBER(B385)),"Fecha no válida",IF(N(B385)&gt;TODAY(),"Fecha futura",IF(IFERROR(VLOOKUP(E385,LISTAS!$A$2:$C$65,3,FALSE),"")&lt;&gt;D385,"La subregión no corresponde al municipio",IF(IF(L385="",FALSE,OR(L385&lt;0,L385&gt;110)),"Edad fuera de rango",IF((V385="Sí")+(W385="Sí")+(X385="Sí")+(Y385="Sí")=0,"Marque al menos un tipo de violencia","OK")))))))</f>
        <v/>
      </c>
    </row>
    <row r="386">
      <c r="A386" s="12">
        <f>IF(OR(F386="",F386="Revisar",C386=""),"",F386&amp;"-"&amp;C386&amp;"-"&amp;TEXT(COUNTIFS($F$2:F386,F386,$C$2:C386,C386),"0000"))</f>
        <v/>
      </c>
      <c r="B386" s="13" t="n"/>
      <c r="C386" s="12">
        <f>IF(ISNUMBER(B386),YEAR(B386),"")</f>
        <v/>
      </c>
      <c r="D386" s="14" t="n"/>
      <c r="E386" s="14" t="n"/>
      <c r="F386" s="12">
        <f>IF(E386="","",IFERROR(VLOOKUP(E386,LISTAS!$A$2:$C$65,2,FALSE),"Revisar"))</f>
        <v/>
      </c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2">
        <f>IF(COUNTA(B386:B386)+COUNTA(D386:E386)+COUNTA(G386:AJ386)=0,"",IF(COUNTBLANK(B386:B386)+COUNTBLANK(D386:E386)+COUNTBLANK(G386:G386)+COUNTBLANK(O386:AJ386)&gt;0,"Faltan "&amp;(COUNTBLANK(B386:B386)+COUNTBLANK(D386:E386)+COUNTBLANK(G386:G386)+COUNTBLANK(O386:AJ386))&amp;" datos obligatorios",IF(NOT(ISNUMBER(B386)),"Fecha no válida",IF(N(B386)&gt;TODAY(),"Fecha futura",IF(IFERROR(VLOOKUP(E386,LISTAS!$A$2:$C$65,3,FALSE),"")&lt;&gt;D386,"La subregión no corresponde al municipio",IF(IF(L386="",FALSE,OR(L386&lt;0,L386&gt;110)),"Edad fuera de rango",IF((V386="Sí")+(W386="Sí")+(X386="Sí")+(Y386="Sí")=0,"Marque al menos un tipo de violencia","OK")))))))</f>
        <v/>
      </c>
    </row>
    <row r="387">
      <c r="A387" s="12">
        <f>IF(OR(F387="",F387="Revisar",C387=""),"",F387&amp;"-"&amp;C387&amp;"-"&amp;TEXT(COUNTIFS($F$2:F387,F387,$C$2:C387,C387),"0000"))</f>
        <v/>
      </c>
      <c r="B387" s="13" t="n"/>
      <c r="C387" s="12">
        <f>IF(ISNUMBER(B387),YEAR(B387),"")</f>
        <v/>
      </c>
      <c r="D387" s="14" t="n"/>
      <c r="E387" s="14" t="n"/>
      <c r="F387" s="12">
        <f>IF(E387="","",IFERROR(VLOOKUP(E387,LISTAS!$A$2:$C$65,2,FALSE),"Revisar"))</f>
        <v/>
      </c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2">
        <f>IF(COUNTA(B387:B387)+COUNTA(D387:E387)+COUNTA(G387:AJ387)=0,"",IF(COUNTBLANK(B387:B387)+COUNTBLANK(D387:E387)+COUNTBLANK(G387:G387)+COUNTBLANK(O387:AJ387)&gt;0,"Faltan "&amp;(COUNTBLANK(B387:B387)+COUNTBLANK(D387:E387)+COUNTBLANK(G387:G387)+COUNTBLANK(O387:AJ387))&amp;" datos obligatorios",IF(NOT(ISNUMBER(B387)),"Fecha no válida",IF(N(B387)&gt;TODAY(),"Fecha futura",IF(IFERROR(VLOOKUP(E387,LISTAS!$A$2:$C$65,3,FALSE),"")&lt;&gt;D387,"La subregión no corresponde al municipio",IF(IF(L387="",FALSE,OR(L387&lt;0,L387&gt;110)),"Edad fuera de rango",IF((V387="Sí")+(W387="Sí")+(X387="Sí")+(Y387="Sí")=0,"Marque al menos un tipo de violencia","OK")))))))</f>
        <v/>
      </c>
    </row>
    <row r="388">
      <c r="A388" s="12">
        <f>IF(OR(F388="",F388="Revisar",C388=""),"",F388&amp;"-"&amp;C388&amp;"-"&amp;TEXT(COUNTIFS($F$2:F388,F388,$C$2:C388,C388),"0000"))</f>
        <v/>
      </c>
      <c r="B388" s="13" t="n"/>
      <c r="C388" s="12">
        <f>IF(ISNUMBER(B388),YEAR(B388),"")</f>
        <v/>
      </c>
      <c r="D388" s="14" t="n"/>
      <c r="E388" s="14" t="n"/>
      <c r="F388" s="12">
        <f>IF(E388="","",IFERROR(VLOOKUP(E388,LISTAS!$A$2:$C$65,2,FALSE),"Revisar"))</f>
        <v/>
      </c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2">
        <f>IF(COUNTA(B388:B388)+COUNTA(D388:E388)+COUNTA(G388:AJ388)=0,"",IF(COUNTBLANK(B388:B388)+COUNTBLANK(D388:E388)+COUNTBLANK(G388:G388)+COUNTBLANK(O388:AJ388)&gt;0,"Faltan "&amp;(COUNTBLANK(B388:B388)+COUNTBLANK(D388:E388)+COUNTBLANK(G388:G388)+COUNTBLANK(O388:AJ388))&amp;" datos obligatorios",IF(NOT(ISNUMBER(B388)),"Fecha no válida",IF(N(B388)&gt;TODAY(),"Fecha futura",IF(IFERROR(VLOOKUP(E388,LISTAS!$A$2:$C$65,3,FALSE),"")&lt;&gt;D388,"La subregión no corresponde al municipio",IF(IF(L388="",FALSE,OR(L388&lt;0,L388&gt;110)),"Edad fuera de rango",IF((V388="Sí")+(W388="Sí")+(X388="Sí")+(Y388="Sí")=0,"Marque al menos un tipo de violencia","OK")))))))</f>
        <v/>
      </c>
    </row>
    <row r="389">
      <c r="A389" s="12">
        <f>IF(OR(F389="",F389="Revisar",C389=""),"",F389&amp;"-"&amp;C389&amp;"-"&amp;TEXT(COUNTIFS($F$2:F389,F389,$C$2:C389,C389),"0000"))</f>
        <v/>
      </c>
      <c r="B389" s="13" t="n"/>
      <c r="C389" s="12">
        <f>IF(ISNUMBER(B389),YEAR(B389),"")</f>
        <v/>
      </c>
      <c r="D389" s="14" t="n"/>
      <c r="E389" s="14" t="n"/>
      <c r="F389" s="12">
        <f>IF(E389="","",IFERROR(VLOOKUP(E389,LISTAS!$A$2:$C$65,2,FALSE),"Revisar"))</f>
        <v/>
      </c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2">
        <f>IF(COUNTA(B389:B389)+COUNTA(D389:E389)+COUNTA(G389:AJ389)=0,"",IF(COUNTBLANK(B389:B389)+COUNTBLANK(D389:E389)+COUNTBLANK(G389:G389)+COUNTBLANK(O389:AJ389)&gt;0,"Faltan "&amp;(COUNTBLANK(B389:B389)+COUNTBLANK(D389:E389)+COUNTBLANK(G389:G389)+COUNTBLANK(O389:AJ389))&amp;" datos obligatorios",IF(NOT(ISNUMBER(B389)),"Fecha no válida",IF(N(B389)&gt;TODAY(),"Fecha futura",IF(IFERROR(VLOOKUP(E389,LISTAS!$A$2:$C$65,3,FALSE),"")&lt;&gt;D389,"La subregión no corresponde al municipio",IF(IF(L389="",FALSE,OR(L389&lt;0,L389&gt;110)),"Edad fuera de rango",IF((V389="Sí")+(W389="Sí")+(X389="Sí")+(Y389="Sí")=0,"Marque al menos un tipo de violencia","OK")))))))</f>
        <v/>
      </c>
    </row>
    <row r="390">
      <c r="A390" s="12">
        <f>IF(OR(F390="",F390="Revisar",C390=""),"",F390&amp;"-"&amp;C390&amp;"-"&amp;TEXT(COUNTIFS($F$2:F390,F390,$C$2:C390,C390),"0000"))</f>
        <v/>
      </c>
      <c r="B390" s="13" t="n"/>
      <c r="C390" s="12">
        <f>IF(ISNUMBER(B390),YEAR(B390),"")</f>
        <v/>
      </c>
      <c r="D390" s="14" t="n"/>
      <c r="E390" s="14" t="n"/>
      <c r="F390" s="12">
        <f>IF(E390="","",IFERROR(VLOOKUP(E390,LISTAS!$A$2:$C$65,2,FALSE),"Revisar"))</f>
        <v/>
      </c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2">
        <f>IF(COUNTA(B390:B390)+COUNTA(D390:E390)+COUNTA(G390:AJ390)=0,"",IF(COUNTBLANK(B390:B390)+COUNTBLANK(D390:E390)+COUNTBLANK(G390:G390)+COUNTBLANK(O390:AJ390)&gt;0,"Faltan "&amp;(COUNTBLANK(B390:B390)+COUNTBLANK(D390:E390)+COUNTBLANK(G390:G390)+COUNTBLANK(O390:AJ390))&amp;" datos obligatorios",IF(NOT(ISNUMBER(B390)),"Fecha no válida",IF(N(B390)&gt;TODAY(),"Fecha futura",IF(IFERROR(VLOOKUP(E390,LISTAS!$A$2:$C$65,3,FALSE),"")&lt;&gt;D390,"La subregión no corresponde al municipio",IF(IF(L390="",FALSE,OR(L390&lt;0,L390&gt;110)),"Edad fuera de rango",IF((V390="Sí")+(W390="Sí")+(X390="Sí")+(Y390="Sí")=0,"Marque al menos un tipo de violencia","OK")))))))</f>
        <v/>
      </c>
    </row>
    <row r="391">
      <c r="A391" s="12">
        <f>IF(OR(F391="",F391="Revisar",C391=""),"",F391&amp;"-"&amp;C391&amp;"-"&amp;TEXT(COUNTIFS($F$2:F391,F391,$C$2:C391,C391),"0000"))</f>
        <v/>
      </c>
      <c r="B391" s="13" t="n"/>
      <c r="C391" s="12">
        <f>IF(ISNUMBER(B391),YEAR(B391),"")</f>
        <v/>
      </c>
      <c r="D391" s="14" t="n"/>
      <c r="E391" s="14" t="n"/>
      <c r="F391" s="12">
        <f>IF(E391="","",IFERROR(VLOOKUP(E391,LISTAS!$A$2:$C$65,2,FALSE),"Revisar"))</f>
        <v/>
      </c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2">
        <f>IF(COUNTA(B391:B391)+COUNTA(D391:E391)+COUNTA(G391:AJ391)=0,"",IF(COUNTBLANK(B391:B391)+COUNTBLANK(D391:E391)+COUNTBLANK(G391:G391)+COUNTBLANK(O391:AJ391)&gt;0,"Faltan "&amp;(COUNTBLANK(B391:B391)+COUNTBLANK(D391:E391)+COUNTBLANK(G391:G391)+COUNTBLANK(O391:AJ391))&amp;" datos obligatorios",IF(NOT(ISNUMBER(B391)),"Fecha no válida",IF(N(B391)&gt;TODAY(),"Fecha futura",IF(IFERROR(VLOOKUP(E391,LISTAS!$A$2:$C$65,3,FALSE),"")&lt;&gt;D391,"La subregión no corresponde al municipio",IF(IF(L391="",FALSE,OR(L391&lt;0,L391&gt;110)),"Edad fuera de rango",IF((V391="Sí")+(W391="Sí")+(X391="Sí")+(Y391="Sí")=0,"Marque al menos un tipo de violencia","OK")))))))</f>
        <v/>
      </c>
    </row>
    <row r="392">
      <c r="A392" s="12">
        <f>IF(OR(F392="",F392="Revisar",C392=""),"",F392&amp;"-"&amp;C392&amp;"-"&amp;TEXT(COUNTIFS($F$2:F392,F392,$C$2:C392,C392),"0000"))</f>
        <v/>
      </c>
      <c r="B392" s="13" t="n"/>
      <c r="C392" s="12">
        <f>IF(ISNUMBER(B392),YEAR(B392),"")</f>
        <v/>
      </c>
      <c r="D392" s="14" t="n"/>
      <c r="E392" s="14" t="n"/>
      <c r="F392" s="12">
        <f>IF(E392="","",IFERROR(VLOOKUP(E392,LISTAS!$A$2:$C$65,2,FALSE),"Revisar"))</f>
        <v/>
      </c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2">
        <f>IF(COUNTA(B392:B392)+COUNTA(D392:E392)+COUNTA(G392:AJ392)=0,"",IF(COUNTBLANK(B392:B392)+COUNTBLANK(D392:E392)+COUNTBLANK(G392:G392)+COUNTBLANK(O392:AJ392)&gt;0,"Faltan "&amp;(COUNTBLANK(B392:B392)+COUNTBLANK(D392:E392)+COUNTBLANK(G392:G392)+COUNTBLANK(O392:AJ392))&amp;" datos obligatorios",IF(NOT(ISNUMBER(B392)),"Fecha no válida",IF(N(B392)&gt;TODAY(),"Fecha futura",IF(IFERROR(VLOOKUP(E392,LISTAS!$A$2:$C$65,3,FALSE),"")&lt;&gt;D392,"La subregión no corresponde al municipio",IF(IF(L392="",FALSE,OR(L392&lt;0,L392&gt;110)),"Edad fuera de rango",IF((V392="Sí")+(W392="Sí")+(X392="Sí")+(Y392="Sí")=0,"Marque al menos un tipo de violencia","OK")))))))</f>
        <v/>
      </c>
    </row>
    <row r="393">
      <c r="A393" s="12">
        <f>IF(OR(F393="",F393="Revisar",C393=""),"",F393&amp;"-"&amp;C393&amp;"-"&amp;TEXT(COUNTIFS($F$2:F393,F393,$C$2:C393,C393),"0000"))</f>
        <v/>
      </c>
      <c r="B393" s="13" t="n"/>
      <c r="C393" s="12">
        <f>IF(ISNUMBER(B393),YEAR(B393),"")</f>
        <v/>
      </c>
      <c r="D393" s="14" t="n"/>
      <c r="E393" s="14" t="n"/>
      <c r="F393" s="12">
        <f>IF(E393="","",IFERROR(VLOOKUP(E393,LISTAS!$A$2:$C$65,2,FALSE),"Revisar"))</f>
        <v/>
      </c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2">
        <f>IF(COUNTA(B393:B393)+COUNTA(D393:E393)+COUNTA(G393:AJ393)=0,"",IF(COUNTBLANK(B393:B393)+COUNTBLANK(D393:E393)+COUNTBLANK(G393:G393)+COUNTBLANK(O393:AJ393)&gt;0,"Faltan "&amp;(COUNTBLANK(B393:B393)+COUNTBLANK(D393:E393)+COUNTBLANK(G393:G393)+COUNTBLANK(O393:AJ393))&amp;" datos obligatorios",IF(NOT(ISNUMBER(B393)),"Fecha no válida",IF(N(B393)&gt;TODAY(),"Fecha futura",IF(IFERROR(VLOOKUP(E393,LISTAS!$A$2:$C$65,3,FALSE),"")&lt;&gt;D393,"La subregión no corresponde al municipio",IF(IF(L393="",FALSE,OR(L393&lt;0,L393&gt;110)),"Edad fuera de rango",IF((V393="Sí")+(W393="Sí")+(X393="Sí")+(Y393="Sí")=0,"Marque al menos un tipo de violencia","OK")))))))</f>
        <v/>
      </c>
    </row>
    <row r="394">
      <c r="A394" s="12">
        <f>IF(OR(F394="",F394="Revisar",C394=""),"",F394&amp;"-"&amp;C394&amp;"-"&amp;TEXT(COUNTIFS($F$2:F394,F394,$C$2:C394,C394),"0000"))</f>
        <v/>
      </c>
      <c r="B394" s="13" t="n"/>
      <c r="C394" s="12">
        <f>IF(ISNUMBER(B394),YEAR(B394),"")</f>
        <v/>
      </c>
      <c r="D394" s="14" t="n"/>
      <c r="E394" s="14" t="n"/>
      <c r="F394" s="12">
        <f>IF(E394="","",IFERROR(VLOOKUP(E394,LISTAS!$A$2:$C$65,2,FALSE),"Revisar"))</f>
        <v/>
      </c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2">
        <f>IF(COUNTA(B394:B394)+COUNTA(D394:E394)+COUNTA(G394:AJ394)=0,"",IF(COUNTBLANK(B394:B394)+COUNTBLANK(D394:E394)+COUNTBLANK(G394:G394)+COUNTBLANK(O394:AJ394)&gt;0,"Faltan "&amp;(COUNTBLANK(B394:B394)+COUNTBLANK(D394:E394)+COUNTBLANK(G394:G394)+COUNTBLANK(O394:AJ394))&amp;" datos obligatorios",IF(NOT(ISNUMBER(B394)),"Fecha no válida",IF(N(B394)&gt;TODAY(),"Fecha futura",IF(IFERROR(VLOOKUP(E394,LISTAS!$A$2:$C$65,3,FALSE),"")&lt;&gt;D394,"La subregión no corresponde al municipio",IF(IF(L394="",FALSE,OR(L394&lt;0,L394&gt;110)),"Edad fuera de rango",IF((V394="Sí")+(W394="Sí")+(X394="Sí")+(Y394="Sí")=0,"Marque al menos un tipo de violencia","OK")))))))</f>
        <v/>
      </c>
    </row>
    <row r="395">
      <c r="A395" s="12">
        <f>IF(OR(F395="",F395="Revisar",C395=""),"",F395&amp;"-"&amp;C395&amp;"-"&amp;TEXT(COUNTIFS($F$2:F395,F395,$C$2:C395,C395),"0000"))</f>
        <v/>
      </c>
      <c r="B395" s="13" t="n"/>
      <c r="C395" s="12">
        <f>IF(ISNUMBER(B395),YEAR(B395),"")</f>
        <v/>
      </c>
      <c r="D395" s="14" t="n"/>
      <c r="E395" s="14" t="n"/>
      <c r="F395" s="12">
        <f>IF(E395="","",IFERROR(VLOOKUP(E395,LISTAS!$A$2:$C$65,2,FALSE),"Revisar"))</f>
        <v/>
      </c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2">
        <f>IF(COUNTA(B395:B395)+COUNTA(D395:E395)+COUNTA(G395:AJ395)=0,"",IF(COUNTBLANK(B395:B395)+COUNTBLANK(D395:E395)+COUNTBLANK(G395:G395)+COUNTBLANK(O395:AJ395)&gt;0,"Faltan "&amp;(COUNTBLANK(B395:B395)+COUNTBLANK(D395:E395)+COUNTBLANK(G395:G395)+COUNTBLANK(O395:AJ395))&amp;" datos obligatorios",IF(NOT(ISNUMBER(B395)),"Fecha no válida",IF(N(B395)&gt;TODAY(),"Fecha futura",IF(IFERROR(VLOOKUP(E395,LISTAS!$A$2:$C$65,3,FALSE),"")&lt;&gt;D395,"La subregión no corresponde al municipio",IF(IF(L395="",FALSE,OR(L395&lt;0,L395&gt;110)),"Edad fuera de rango",IF((V395="Sí")+(W395="Sí")+(X395="Sí")+(Y395="Sí")=0,"Marque al menos un tipo de violencia","OK")))))))</f>
        <v/>
      </c>
    </row>
    <row r="396">
      <c r="A396" s="12">
        <f>IF(OR(F396="",F396="Revisar",C396=""),"",F396&amp;"-"&amp;C396&amp;"-"&amp;TEXT(COUNTIFS($F$2:F396,F396,$C$2:C396,C396),"0000"))</f>
        <v/>
      </c>
      <c r="B396" s="13" t="n"/>
      <c r="C396" s="12">
        <f>IF(ISNUMBER(B396),YEAR(B396),"")</f>
        <v/>
      </c>
      <c r="D396" s="14" t="n"/>
      <c r="E396" s="14" t="n"/>
      <c r="F396" s="12">
        <f>IF(E396="","",IFERROR(VLOOKUP(E396,LISTAS!$A$2:$C$65,2,FALSE),"Revisar"))</f>
        <v/>
      </c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2">
        <f>IF(COUNTA(B396:B396)+COUNTA(D396:E396)+COUNTA(G396:AJ396)=0,"",IF(COUNTBLANK(B396:B396)+COUNTBLANK(D396:E396)+COUNTBLANK(G396:G396)+COUNTBLANK(O396:AJ396)&gt;0,"Faltan "&amp;(COUNTBLANK(B396:B396)+COUNTBLANK(D396:E396)+COUNTBLANK(G396:G396)+COUNTBLANK(O396:AJ396))&amp;" datos obligatorios",IF(NOT(ISNUMBER(B396)),"Fecha no válida",IF(N(B396)&gt;TODAY(),"Fecha futura",IF(IFERROR(VLOOKUP(E396,LISTAS!$A$2:$C$65,3,FALSE),"")&lt;&gt;D396,"La subregión no corresponde al municipio",IF(IF(L396="",FALSE,OR(L396&lt;0,L396&gt;110)),"Edad fuera de rango",IF((V396="Sí")+(W396="Sí")+(X396="Sí")+(Y396="Sí")=0,"Marque al menos un tipo de violencia","OK")))))))</f>
        <v/>
      </c>
    </row>
    <row r="397">
      <c r="A397" s="12">
        <f>IF(OR(F397="",F397="Revisar",C397=""),"",F397&amp;"-"&amp;C397&amp;"-"&amp;TEXT(COUNTIFS($F$2:F397,F397,$C$2:C397,C397),"0000"))</f>
        <v/>
      </c>
      <c r="B397" s="13" t="n"/>
      <c r="C397" s="12">
        <f>IF(ISNUMBER(B397),YEAR(B397),"")</f>
        <v/>
      </c>
      <c r="D397" s="14" t="n"/>
      <c r="E397" s="14" t="n"/>
      <c r="F397" s="12">
        <f>IF(E397="","",IFERROR(VLOOKUP(E397,LISTAS!$A$2:$C$65,2,FALSE),"Revisar"))</f>
        <v/>
      </c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2">
        <f>IF(COUNTA(B397:B397)+COUNTA(D397:E397)+COUNTA(G397:AJ397)=0,"",IF(COUNTBLANK(B397:B397)+COUNTBLANK(D397:E397)+COUNTBLANK(G397:G397)+COUNTBLANK(O397:AJ397)&gt;0,"Faltan "&amp;(COUNTBLANK(B397:B397)+COUNTBLANK(D397:E397)+COUNTBLANK(G397:G397)+COUNTBLANK(O397:AJ397))&amp;" datos obligatorios",IF(NOT(ISNUMBER(B397)),"Fecha no válida",IF(N(B397)&gt;TODAY(),"Fecha futura",IF(IFERROR(VLOOKUP(E397,LISTAS!$A$2:$C$65,3,FALSE),"")&lt;&gt;D397,"La subregión no corresponde al municipio",IF(IF(L397="",FALSE,OR(L397&lt;0,L397&gt;110)),"Edad fuera de rango",IF((V397="Sí")+(W397="Sí")+(X397="Sí")+(Y397="Sí")=0,"Marque al menos un tipo de violencia","OK")))))))</f>
        <v/>
      </c>
    </row>
    <row r="398">
      <c r="A398" s="12">
        <f>IF(OR(F398="",F398="Revisar",C398=""),"",F398&amp;"-"&amp;C398&amp;"-"&amp;TEXT(COUNTIFS($F$2:F398,F398,$C$2:C398,C398),"0000"))</f>
        <v/>
      </c>
      <c r="B398" s="13" t="n"/>
      <c r="C398" s="12">
        <f>IF(ISNUMBER(B398),YEAR(B398),"")</f>
        <v/>
      </c>
      <c r="D398" s="14" t="n"/>
      <c r="E398" s="14" t="n"/>
      <c r="F398" s="12">
        <f>IF(E398="","",IFERROR(VLOOKUP(E398,LISTAS!$A$2:$C$65,2,FALSE),"Revisar"))</f>
        <v/>
      </c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2">
        <f>IF(COUNTA(B398:B398)+COUNTA(D398:E398)+COUNTA(G398:AJ398)=0,"",IF(COUNTBLANK(B398:B398)+COUNTBLANK(D398:E398)+COUNTBLANK(G398:G398)+COUNTBLANK(O398:AJ398)&gt;0,"Faltan "&amp;(COUNTBLANK(B398:B398)+COUNTBLANK(D398:E398)+COUNTBLANK(G398:G398)+COUNTBLANK(O398:AJ398))&amp;" datos obligatorios",IF(NOT(ISNUMBER(B398)),"Fecha no válida",IF(N(B398)&gt;TODAY(),"Fecha futura",IF(IFERROR(VLOOKUP(E398,LISTAS!$A$2:$C$65,3,FALSE),"")&lt;&gt;D398,"La subregión no corresponde al municipio",IF(IF(L398="",FALSE,OR(L398&lt;0,L398&gt;110)),"Edad fuera de rango",IF((V398="Sí")+(W398="Sí")+(X398="Sí")+(Y398="Sí")=0,"Marque al menos un tipo de violencia","OK")))))))</f>
        <v/>
      </c>
    </row>
    <row r="399">
      <c r="A399" s="12">
        <f>IF(OR(F399="",F399="Revisar",C399=""),"",F399&amp;"-"&amp;C399&amp;"-"&amp;TEXT(COUNTIFS($F$2:F399,F399,$C$2:C399,C399),"0000"))</f>
        <v/>
      </c>
      <c r="B399" s="13" t="n"/>
      <c r="C399" s="12">
        <f>IF(ISNUMBER(B399),YEAR(B399),"")</f>
        <v/>
      </c>
      <c r="D399" s="14" t="n"/>
      <c r="E399" s="14" t="n"/>
      <c r="F399" s="12">
        <f>IF(E399="","",IFERROR(VLOOKUP(E399,LISTAS!$A$2:$C$65,2,FALSE),"Revisar"))</f>
        <v/>
      </c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2">
        <f>IF(COUNTA(B399:B399)+COUNTA(D399:E399)+COUNTA(G399:AJ399)=0,"",IF(COUNTBLANK(B399:B399)+COUNTBLANK(D399:E399)+COUNTBLANK(G399:G399)+COUNTBLANK(O399:AJ399)&gt;0,"Faltan "&amp;(COUNTBLANK(B399:B399)+COUNTBLANK(D399:E399)+COUNTBLANK(G399:G399)+COUNTBLANK(O399:AJ399))&amp;" datos obligatorios",IF(NOT(ISNUMBER(B399)),"Fecha no válida",IF(N(B399)&gt;TODAY(),"Fecha futura",IF(IFERROR(VLOOKUP(E399,LISTAS!$A$2:$C$65,3,FALSE),"")&lt;&gt;D399,"La subregión no corresponde al municipio",IF(IF(L399="",FALSE,OR(L399&lt;0,L399&gt;110)),"Edad fuera de rango",IF((V399="Sí")+(W399="Sí")+(X399="Sí")+(Y399="Sí")=0,"Marque al menos un tipo de violencia","OK")))))))</f>
        <v/>
      </c>
    </row>
    <row r="400">
      <c r="A400" s="12">
        <f>IF(OR(F400="",F400="Revisar",C400=""),"",F400&amp;"-"&amp;C400&amp;"-"&amp;TEXT(COUNTIFS($F$2:F400,F400,$C$2:C400,C400),"0000"))</f>
        <v/>
      </c>
      <c r="B400" s="13" t="n"/>
      <c r="C400" s="12">
        <f>IF(ISNUMBER(B400),YEAR(B400),"")</f>
        <v/>
      </c>
      <c r="D400" s="14" t="n"/>
      <c r="E400" s="14" t="n"/>
      <c r="F400" s="12">
        <f>IF(E400="","",IFERROR(VLOOKUP(E400,LISTAS!$A$2:$C$65,2,FALSE),"Revisar"))</f>
        <v/>
      </c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2">
        <f>IF(COUNTA(B400:B400)+COUNTA(D400:E400)+COUNTA(G400:AJ400)=0,"",IF(COUNTBLANK(B400:B400)+COUNTBLANK(D400:E400)+COUNTBLANK(G400:G400)+COUNTBLANK(O400:AJ400)&gt;0,"Faltan "&amp;(COUNTBLANK(B400:B400)+COUNTBLANK(D400:E400)+COUNTBLANK(G400:G400)+COUNTBLANK(O400:AJ400))&amp;" datos obligatorios",IF(NOT(ISNUMBER(B400)),"Fecha no válida",IF(N(B400)&gt;TODAY(),"Fecha futura",IF(IFERROR(VLOOKUP(E400,LISTAS!$A$2:$C$65,3,FALSE),"")&lt;&gt;D400,"La subregión no corresponde al municipio",IF(IF(L400="",FALSE,OR(L400&lt;0,L400&gt;110)),"Edad fuera de rango",IF((V400="Sí")+(W400="Sí")+(X400="Sí")+(Y400="Sí")=0,"Marque al menos un tipo de violencia","OK")))))))</f>
        <v/>
      </c>
    </row>
    <row r="401">
      <c r="A401" s="12">
        <f>IF(OR(F401="",F401="Revisar",C401=""),"",F401&amp;"-"&amp;C401&amp;"-"&amp;TEXT(COUNTIFS($F$2:F401,F401,$C$2:C401,C401),"0000"))</f>
        <v/>
      </c>
      <c r="B401" s="13" t="n"/>
      <c r="C401" s="12">
        <f>IF(ISNUMBER(B401),YEAR(B401),"")</f>
        <v/>
      </c>
      <c r="D401" s="14" t="n"/>
      <c r="E401" s="14" t="n"/>
      <c r="F401" s="12">
        <f>IF(E401="","",IFERROR(VLOOKUP(E401,LISTAS!$A$2:$C$65,2,FALSE),"Revisar"))</f>
        <v/>
      </c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2">
        <f>IF(COUNTA(B401:B401)+COUNTA(D401:E401)+COUNTA(G401:AJ401)=0,"",IF(COUNTBLANK(B401:B401)+COUNTBLANK(D401:E401)+COUNTBLANK(G401:G401)+COUNTBLANK(O401:AJ401)&gt;0,"Faltan "&amp;(COUNTBLANK(B401:B401)+COUNTBLANK(D401:E401)+COUNTBLANK(G401:G401)+COUNTBLANK(O401:AJ401))&amp;" datos obligatorios",IF(NOT(ISNUMBER(B401)),"Fecha no válida",IF(N(B401)&gt;TODAY(),"Fecha futura",IF(IFERROR(VLOOKUP(E401,LISTAS!$A$2:$C$65,3,FALSE),"")&lt;&gt;D401,"La subregión no corresponde al municipio",IF(IF(L401="",FALSE,OR(L401&lt;0,L401&gt;110)),"Edad fuera de rango",IF((V401="Sí")+(W401="Sí")+(X401="Sí")+(Y401="Sí")=0,"Marque al menos un tipo de violencia","OK")))))))</f>
        <v/>
      </c>
    </row>
    <row r="402">
      <c r="A402" s="12">
        <f>IF(OR(F402="",F402="Revisar",C402=""),"",F402&amp;"-"&amp;C402&amp;"-"&amp;TEXT(COUNTIFS($F$2:F402,F402,$C$2:C402,C402),"0000"))</f>
        <v/>
      </c>
      <c r="B402" s="13" t="n"/>
      <c r="C402" s="12">
        <f>IF(ISNUMBER(B402),YEAR(B402),"")</f>
        <v/>
      </c>
      <c r="D402" s="14" t="n"/>
      <c r="E402" s="14" t="n"/>
      <c r="F402" s="12">
        <f>IF(E402="","",IFERROR(VLOOKUP(E402,LISTAS!$A$2:$C$65,2,FALSE),"Revisar"))</f>
        <v/>
      </c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2">
        <f>IF(COUNTA(B402:B402)+COUNTA(D402:E402)+COUNTA(G402:AJ402)=0,"",IF(COUNTBLANK(B402:B402)+COUNTBLANK(D402:E402)+COUNTBLANK(G402:G402)+COUNTBLANK(O402:AJ402)&gt;0,"Faltan "&amp;(COUNTBLANK(B402:B402)+COUNTBLANK(D402:E402)+COUNTBLANK(G402:G402)+COUNTBLANK(O402:AJ402))&amp;" datos obligatorios",IF(NOT(ISNUMBER(B402)),"Fecha no válida",IF(N(B402)&gt;TODAY(),"Fecha futura",IF(IFERROR(VLOOKUP(E402,LISTAS!$A$2:$C$65,3,FALSE),"")&lt;&gt;D402,"La subregión no corresponde al municipio",IF(IF(L402="",FALSE,OR(L402&lt;0,L402&gt;110)),"Edad fuera de rango",IF((V402="Sí")+(W402="Sí")+(X402="Sí")+(Y402="Sí")=0,"Marque al menos un tipo de violencia","OK")))))))</f>
        <v/>
      </c>
    </row>
    <row r="403">
      <c r="A403" s="12">
        <f>IF(OR(F403="",F403="Revisar",C403=""),"",F403&amp;"-"&amp;C403&amp;"-"&amp;TEXT(COUNTIFS($F$2:F403,F403,$C$2:C403,C403),"0000"))</f>
        <v/>
      </c>
      <c r="B403" s="13" t="n"/>
      <c r="C403" s="12">
        <f>IF(ISNUMBER(B403),YEAR(B403),"")</f>
        <v/>
      </c>
      <c r="D403" s="14" t="n"/>
      <c r="E403" s="14" t="n"/>
      <c r="F403" s="12">
        <f>IF(E403="","",IFERROR(VLOOKUP(E403,LISTAS!$A$2:$C$65,2,FALSE),"Revisar"))</f>
        <v/>
      </c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2">
        <f>IF(COUNTA(B403:B403)+COUNTA(D403:E403)+COUNTA(G403:AJ403)=0,"",IF(COUNTBLANK(B403:B403)+COUNTBLANK(D403:E403)+COUNTBLANK(G403:G403)+COUNTBLANK(O403:AJ403)&gt;0,"Faltan "&amp;(COUNTBLANK(B403:B403)+COUNTBLANK(D403:E403)+COUNTBLANK(G403:G403)+COUNTBLANK(O403:AJ403))&amp;" datos obligatorios",IF(NOT(ISNUMBER(B403)),"Fecha no válida",IF(N(B403)&gt;TODAY(),"Fecha futura",IF(IFERROR(VLOOKUP(E403,LISTAS!$A$2:$C$65,3,FALSE),"")&lt;&gt;D403,"La subregión no corresponde al municipio",IF(IF(L403="",FALSE,OR(L403&lt;0,L403&gt;110)),"Edad fuera de rango",IF((V403="Sí")+(W403="Sí")+(X403="Sí")+(Y403="Sí")=0,"Marque al menos un tipo de violencia","OK")))))))</f>
        <v/>
      </c>
    </row>
    <row r="404">
      <c r="A404" s="12">
        <f>IF(OR(F404="",F404="Revisar",C404=""),"",F404&amp;"-"&amp;C404&amp;"-"&amp;TEXT(COUNTIFS($F$2:F404,F404,$C$2:C404,C404),"0000"))</f>
        <v/>
      </c>
      <c r="B404" s="13" t="n"/>
      <c r="C404" s="12">
        <f>IF(ISNUMBER(B404),YEAR(B404),"")</f>
        <v/>
      </c>
      <c r="D404" s="14" t="n"/>
      <c r="E404" s="14" t="n"/>
      <c r="F404" s="12">
        <f>IF(E404="","",IFERROR(VLOOKUP(E404,LISTAS!$A$2:$C$65,2,FALSE),"Revisar"))</f>
        <v/>
      </c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2">
        <f>IF(COUNTA(B404:B404)+COUNTA(D404:E404)+COUNTA(G404:AJ404)=0,"",IF(COUNTBLANK(B404:B404)+COUNTBLANK(D404:E404)+COUNTBLANK(G404:G404)+COUNTBLANK(O404:AJ404)&gt;0,"Faltan "&amp;(COUNTBLANK(B404:B404)+COUNTBLANK(D404:E404)+COUNTBLANK(G404:G404)+COUNTBLANK(O404:AJ404))&amp;" datos obligatorios",IF(NOT(ISNUMBER(B404)),"Fecha no válida",IF(N(B404)&gt;TODAY(),"Fecha futura",IF(IFERROR(VLOOKUP(E404,LISTAS!$A$2:$C$65,3,FALSE),"")&lt;&gt;D404,"La subregión no corresponde al municipio",IF(IF(L404="",FALSE,OR(L404&lt;0,L404&gt;110)),"Edad fuera de rango",IF((V404="Sí")+(W404="Sí")+(X404="Sí")+(Y404="Sí")=0,"Marque al menos un tipo de violencia","OK")))))))</f>
        <v/>
      </c>
    </row>
    <row r="405">
      <c r="A405" s="12">
        <f>IF(OR(F405="",F405="Revisar",C405=""),"",F405&amp;"-"&amp;C405&amp;"-"&amp;TEXT(COUNTIFS($F$2:F405,F405,$C$2:C405,C405),"0000"))</f>
        <v/>
      </c>
      <c r="B405" s="13" t="n"/>
      <c r="C405" s="12">
        <f>IF(ISNUMBER(B405),YEAR(B405),"")</f>
        <v/>
      </c>
      <c r="D405" s="14" t="n"/>
      <c r="E405" s="14" t="n"/>
      <c r="F405" s="12">
        <f>IF(E405="","",IFERROR(VLOOKUP(E405,LISTAS!$A$2:$C$65,2,FALSE),"Revisar"))</f>
        <v/>
      </c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2">
        <f>IF(COUNTA(B405:B405)+COUNTA(D405:E405)+COUNTA(G405:AJ405)=0,"",IF(COUNTBLANK(B405:B405)+COUNTBLANK(D405:E405)+COUNTBLANK(G405:G405)+COUNTBLANK(O405:AJ405)&gt;0,"Faltan "&amp;(COUNTBLANK(B405:B405)+COUNTBLANK(D405:E405)+COUNTBLANK(G405:G405)+COUNTBLANK(O405:AJ405))&amp;" datos obligatorios",IF(NOT(ISNUMBER(B405)),"Fecha no válida",IF(N(B405)&gt;TODAY(),"Fecha futura",IF(IFERROR(VLOOKUP(E405,LISTAS!$A$2:$C$65,3,FALSE),"")&lt;&gt;D405,"La subregión no corresponde al municipio",IF(IF(L405="",FALSE,OR(L405&lt;0,L405&gt;110)),"Edad fuera de rango",IF((V405="Sí")+(W405="Sí")+(X405="Sí")+(Y405="Sí")=0,"Marque al menos un tipo de violencia","OK")))))))</f>
        <v/>
      </c>
    </row>
    <row r="406">
      <c r="A406" s="12">
        <f>IF(OR(F406="",F406="Revisar",C406=""),"",F406&amp;"-"&amp;C406&amp;"-"&amp;TEXT(COUNTIFS($F$2:F406,F406,$C$2:C406,C406),"0000"))</f>
        <v/>
      </c>
      <c r="B406" s="13" t="n"/>
      <c r="C406" s="12">
        <f>IF(ISNUMBER(B406),YEAR(B406),"")</f>
        <v/>
      </c>
      <c r="D406" s="14" t="n"/>
      <c r="E406" s="14" t="n"/>
      <c r="F406" s="12">
        <f>IF(E406="","",IFERROR(VLOOKUP(E406,LISTAS!$A$2:$C$65,2,FALSE),"Revisar"))</f>
        <v/>
      </c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2">
        <f>IF(COUNTA(B406:B406)+COUNTA(D406:E406)+COUNTA(G406:AJ406)=0,"",IF(COUNTBLANK(B406:B406)+COUNTBLANK(D406:E406)+COUNTBLANK(G406:G406)+COUNTBLANK(O406:AJ406)&gt;0,"Faltan "&amp;(COUNTBLANK(B406:B406)+COUNTBLANK(D406:E406)+COUNTBLANK(G406:G406)+COUNTBLANK(O406:AJ406))&amp;" datos obligatorios",IF(NOT(ISNUMBER(B406)),"Fecha no válida",IF(N(B406)&gt;TODAY(),"Fecha futura",IF(IFERROR(VLOOKUP(E406,LISTAS!$A$2:$C$65,3,FALSE),"")&lt;&gt;D406,"La subregión no corresponde al municipio",IF(IF(L406="",FALSE,OR(L406&lt;0,L406&gt;110)),"Edad fuera de rango",IF((V406="Sí")+(W406="Sí")+(X406="Sí")+(Y406="Sí")=0,"Marque al menos un tipo de violencia","OK")))))))</f>
        <v/>
      </c>
    </row>
    <row r="407">
      <c r="A407" s="12">
        <f>IF(OR(F407="",F407="Revisar",C407=""),"",F407&amp;"-"&amp;C407&amp;"-"&amp;TEXT(COUNTIFS($F$2:F407,F407,$C$2:C407,C407),"0000"))</f>
        <v/>
      </c>
      <c r="B407" s="13" t="n"/>
      <c r="C407" s="12">
        <f>IF(ISNUMBER(B407),YEAR(B407),"")</f>
        <v/>
      </c>
      <c r="D407" s="14" t="n"/>
      <c r="E407" s="14" t="n"/>
      <c r="F407" s="12">
        <f>IF(E407="","",IFERROR(VLOOKUP(E407,LISTAS!$A$2:$C$65,2,FALSE),"Revisar"))</f>
        <v/>
      </c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2">
        <f>IF(COUNTA(B407:B407)+COUNTA(D407:E407)+COUNTA(G407:AJ407)=0,"",IF(COUNTBLANK(B407:B407)+COUNTBLANK(D407:E407)+COUNTBLANK(G407:G407)+COUNTBLANK(O407:AJ407)&gt;0,"Faltan "&amp;(COUNTBLANK(B407:B407)+COUNTBLANK(D407:E407)+COUNTBLANK(G407:G407)+COUNTBLANK(O407:AJ407))&amp;" datos obligatorios",IF(NOT(ISNUMBER(B407)),"Fecha no válida",IF(N(B407)&gt;TODAY(),"Fecha futura",IF(IFERROR(VLOOKUP(E407,LISTAS!$A$2:$C$65,3,FALSE),"")&lt;&gt;D407,"La subregión no corresponde al municipio",IF(IF(L407="",FALSE,OR(L407&lt;0,L407&gt;110)),"Edad fuera de rango",IF((V407="Sí")+(W407="Sí")+(X407="Sí")+(Y407="Sí")=0,"Marque al menos un tipo de violencia","OK")))))))</f>
        <v/>
      </c>
    </row>
    <row r="408">
      <c r="A408" s="12">
        <f>IF(OR(F408="",F408="Revisar",C408=""),"",F408&amp;"-"&amp;C408&amp;"-"&amp;TEXT(COUNTIFS($F$2:F408,F408,$C$2:C408,C408),"0000"))</f>
        <v/>
      </c>
      <c r="B408" s="13" t="n"/>
      <c r="C408" s="12">
        <f>IF(ISNUMBER(B408),YEAR(B408),"")</f>
        <v/>
      </c>
      <c r="D408" s="14" t="n"/>
      <c r="E408" s="14" t="n"/>
      <c r="F408" s="12">
        <f>IF(E408="","",IFERROR(VLOOKUP(E408,LISTAS!$A$2:$C$65,2,FALSE),"Revisar"))</f>
        <v/>
      </c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2">
        <f>IF(COUNTA(B408:B408)+COUNTA(D408:E408)+COUNTA(G408:AJ408)=0,"",IF(COUNTBLANK(B408:B408)+COUNTBLANK(D408:E408)+COUNTBLANK(G408:G408)+COUNTBLANK(O408:AJ408)&gt;0,"Faltan "&amp;(COUNTBLANK(B408:B408)+COUNTBLANK(D408:E408)+COUNTBLANK(G408:G408)+COUNTBLANK(O408:AJ408))&amp;" datos obligatorios",IF(NOT(ISNUMBER(B408)),"Fecha no válida",IF(N(B408)&gt;TODAY(),"Fecha futura",IF(IFERROR(VLOOKUP(E408,LISTAS!$A$2:$C$65,3,FALSE),"")&lt;&gt;D408,"La subregión no corresponde al municipio",IF(IF(L408="",FALSE,OR(L408&lt;0,L408&gt;110)),"Edad fuera de rango",IF((V408="Sí")+(W408="Sí")+(X408="Sí")+(Y408="Sí")=0,"Marque al menos un tipo de violencia","OK")))))))</f>
        <v/>
      </c>
    </row>
    <row r="409">
      <c r="A409" s="12">
        <f>IF(OR(F409="",F409="Revisar",C409=""),"",F409&amp;"-"&amp;C409&amp;"-"&amp;TEXT(COUNTIFS($F$2:F409,F409,$C$2:C409,C409),"0000"))</f>
        <v/>
      </c>
      <c r="B409" s="13" t="n"/>
      <c r="C409" s="12">
        <f>IF(ISNUMBER(B409),YEAR(B409),"")</f>
        <v/>
      </c>
      <c r="D409" s="14" t="n"/>
      <c r="E409" s="14" t="n"/>
      <c r="F409" s="12">
        <f>IF(E409="","",IFERROR(VLOOKUP(E409,LISTAS!$A$2:$C$65,2,FALSE),"Revisar"))</f>
        <v/>
      </c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2">
        <f>IF(COUNTA(B409:B409)+COUNTA(D409:E409)+COUNTA(G409:AJ409)=0,"",IF(COUNTBLANK(B409:B409)+COUNTBLANK(D409:E409)+COUNTBLANK(G409:G409)+COUNTBLANK(O409:AJ409)&gt;0,"Faltan "&amp;(COUNTBLANK(B409:B409)+COUNTBLANK(D409:E409)+COUNTBLANK(G409:G409)+COUNTBLANK(O409:AJ409))&amp;" datos obligatorios",IF(NOT(ISNUMBER(B409)),"Fecha no válida",IF(N(B409)&gt;TODAY(),"Fecha futura",IF(IFERROR(VLOOKUP(E409,LISTAS!$A$2:$C$65,3,FALSE),"")&lt;&gt;D409,"La subregión no corresponde al municipio",IF(IF(L409="",FALSE,OR(L409&lt;0,L409&gt;110)),"Edad fuera de rango",IF((V409="Sí")+(W409="Sí")+(X409="Sí")+(Y409="Sí")=0,"Marque al menos un tipo de violencia","OK")))))))</f>
        <v/>
      </c>
    </row>
    <row r="410">
      <c r="A410" s="12">
        <f>IF(OR(F410="",F410="Revisar",C410=""),"",F410&amp;"-"&amp;C410&amp;"-"&amp;TEXT(COUNTIFS($F$2:F410,F410,$C$2:C410,C410),"0000"))</f>
        <v/>
      </c>
      <c r="B410" s="13" t="n"/>
      <c r="C410" s="12">
        <f>IF(ISNUMBER(B410),YEAR(B410),"")</f>
        <v/>
      </c>
      <c r="D410" s="14" t="n"/>
      <c r="E410" s="14" t="n"/>
      <c r="F410" s="12">
        <f>IF(E410="","",IFERROR(VLOOKUP(E410,LISTAS!$A$2:$C$65,2,FALSE),"Revisar"))</f>
        <v/>
      </c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2">
        <f>IF(COUNTA(B410:B410)+COUNTA(D410:E410)+COUNTA(G410:AJ410)=0,"",IF(COUNTBLANK(B410:B410)+COUNTBLANK(D410:E410)+COUNTBLANK(G410:G410)+COUNTBLANK(O410:AJ410)&gt;0,"Faltan "&amp;(COUNTBLANK(B410:B410)+COUNTBLANK(D410:E410)+COUNTBLANK(G410:G410)+COUNTBLANK(O410:AJ410))&amp;" datos obligatorios",IF(NOT(ISNUMBER(B410)),"Fecha no válida",IF(N(B410)&gt;TODAY(),"Fecha futura",IF(IFERROR(VLOOKUP(E410,LISTAS!$A$2:$C$65,3,FALSE),"")&lt;&gt;D410,"La subregión no corresponde al municipio",IF(IF(L410="",FALSE,OR(L410&lt;0,L410&gt;110)),"Edad fuera de rango",IF((V410="Sí")+(W410="Sí")+(X410="Sí")+(Y410="Sí")=0,"Marque al menos un tipo de violencia","OK")))))))</f>
        <v/>
      </c>
    </row>
    <row r="411">
      <c r="A411" s="12">
        <f>IF(OR(F411="",F411="Revisar",C411=""),"",F411&amp;"-"&amp;C411&amp;"-"&amp;TEXT(COUNTIFS($F$2:F411,F411,$C$2:C411,C411),"0000"))</f>
        <v/>
      </c>
      <c r="B411" s="13" t="n"/>
      <c r="C411" s="12">
        <f>IF(ISNUMBER(B411),YEAR(B411),"")</f>
        <v/>
      </c>
      <c r="D411" s="14" t="n"/>
      <c r="E411" s="14" t="n"/>
      <c r="F411" s="12">
        <f>IF(E411="","",IFERROR(VLOOKUP(E411,LISTAS!$A$2:$C$65,2,FALSE),"Revisar"))</f>
        <v/>
      </c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2">
        <f>IF(COUNTA(B411:B411)+COUNTA(D411:E411)+COUNTA(G411:AJ411)=0,"",IF(COUNTBLANK(B411:B411)+COUNTBLANK(D411:E411)+COUNTBLANK(G411:G411)+COUNTBLANK(O411:AJ411)&gt;0,"Faltan "&amp;(COUNTBLANK(B411:B411)+COUNTBLANK(D411:E411)+COUNTBLANK(G411:G411)+COUNTBLANK(O411:AJ411))&amp;" datos obligatorios",IF(NOT(ISNUMBER(B411)),"Fecha no válida",IF(N(B411)&gt;TODAY(),"Fecha futura",IF(IFERROR(VLOOKUP(E411,LISTAS!$A$2:$C$65,3,FALSE),"")&lt;&gt;D411,"La subregión no corresponde al municipio",IF(IF(L411="",FALSE,OR(L411&lt;0,L411&gt;110)),"Edad fuera de rango",IF((V411="Sí")+(W411="Sí")+(X411="Sí")+(Y411="Sí")=0,"Marque al menos un tipo de violencia","OK")))))))</f>
        <v/>
      </c>
    </row>
    <row r="412">
      <c r="A412" s="12">
        <f>IF(OR(F412="",F412="Revisar",C412=""),"",F412&amp;"-"&amp;C412&amp;"-"&amp;TEXT(COUNTIFS($F$2:F412,F412,$C$2:C412,C412),"0000"))</f>
        <v/>
      </c>
      <c r="B412" s="13" t="n"/>
      <c r="C412" s="12">
        <f>IF(ISNUMBER(B412),YEAR(B412),"")</f>
        <v/>
      </c>
      <c r="D412" s="14" t="n"/>
      <c r="E412" s="14" t="n"/>
      <c r="F412" s="12">
        <f>IF(E412="","",IFERROR(VLOOKUP(E412,LISTAS!$A$2:$C$65,2,FALSE),"Revisar"))</f>
        <v/>
      </c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2">
        <f>IF(COUNTA(B412:B412)+COUNTA(D412:E412)+COUNTA(G412:AJ412)=0,"",IF(COUNTBLANK(B412:B412)+COUNTBLANK(D412:E412)+COUNTBLANK(G412:G412)+COUNTBLANK(O412:AJ412)&gt;0,"Faltan "&amp;(COUNTBLANK(B412:B412)+COUNTBLANK(D412:E412)+COUNTBLANK(G412:G412)+COUNTBLANK(O412:AJ412))&amp;" datos obligatorios",IF(NOT(ISNUMBER(B412)),"Fecha no válida",IF(N(B412)&gt;TODAY(),"Fecha futura",IF(IFERROR(VLOOKUP(E412,LISTAS!$A$2:$C$65,3,FALSE),"")&lt;&gt;D412,"La subregión no corresponde al municipio",IF(IF(L412="",FALSE,OR(L412&lt;0,L412&gt;110)),"Edad fuera de rango",IF((V412="Sí")+(W412="Sí")+(X412="Sí")+(Y412="Sí")=0,"Marque al menos un tipo de violencia","OK")))))))</f>
        <v/>
      </c>
    </row>
    <row r="413">
      <c r="A413" s="12">
        <f>IF(OR(F413="",F413="Revisar",C413=""),"",F413&amp;"-"&amp;C413&amp;"-"&amp;TEXT(COUNTIFS($F$2:F413,F413,$C$2:C413,C413),"0000"))</f>
        <v/>
      </c>
      <c r="B413" s="13" t="n"/>
      <c r="C413" s="12">
        <f>IF(ISNUMBER(B413),YEAR(B413),"")</f>
        <v/>
      </c>
      <c r="D413" s="14" t="n"/>
      <c r="E413" s="14" t="n"/>
      <c r="F413" s="12">
        <f>IF(E413="","",IFERROR(VLOOKUP(E413,LISTAS!$A$2:$C$65,2,FALSE),"Revisar"))</f>
        <v/>
      </c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2">
        <f>IF(COUNTA(B413:B413)+COUNTA(D413:E413)+COUNTA(G413:AJ413)=0,"",IF(COUNTBLANK(B413:B413)+COUNTBLANK(D413:E413)+COUNTBLANK(G413:G413)+COUNTBLANK(O413:AJ413)&gt;0,"Faltan "&amp;(COUNTBLANK(B413:B413)+COUNTBLANK(D413:E413)+COUNTBLANK(G413:G413)+COUNTBLANK(O413:AJ413))&amp;" datos obligatorios",IF(NOT(ISNUMBER(B413)),"Fecha no válida",IF(N(B413)&gt;TODAY(),"Fecha futura",IF(IFERROR(VLOOKUP(E413,LISTAS!$A$2:$C$65,3,FALSE),"")&lt;&gt;D413,"La subregión no corresponde al municipio",IF(IF(L413="",FALSE,OR(L413&lt;0,L413&gt;110)),"Edad fuera de rango",IF((V413="Sí")+(W413="Sí")+(X413="Sí")+(Y413="Sí")=0,"Marque al menos un tipo de violencia","OK")))))))</f>
        <v/>
      </c>
    </row>
    <row r="414">
      <c r="A414" s="12">
        <f>IF(OR(F414="",F414="Revisar",C414=""),"",F414&amp;"-"&amp;C414&amp;"-"&amp;TEXT(COUNTIFS($F$2:F414,F414,$C$2:C414,C414),"0000"))</f>
        <v/>
      </c>
      <c r="B414" s="13" t="n"/>
      <c r="C414" s="12">
        <f>IF(ISNUMBER(B414),YEAR(B414),"")</f>
        <v/>
      </c>
      <c r="D414" s="14" t="n"/>
      <c r="E414" s="14" t="n"/>
      <c r="F414" s="12">
        <f>IF(E414="","",IFERROR(VLOOKUP(E414,LISTAS!$A$2:$C$65,2,FALSE),"Revisar"))</f>
        <v/>
      </c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2">
        <f>IF(COUNTA(B414:B414)+COUNTA(D414:E414)+COUNTA(G414:AJ414)=0,"",IF(COUNTBLANK(B414:B414)+COUNTBLANK(D414:E414)+COUNTBLANK(G414:G414)+COUNTBLANK(O414:AJ414)&gt;0,"Faltan "&amp;(COUNTBLANK(B414:B414)+COUNTBLANK(D414:E414)+COUNTBLANK(G414:G414)+COUNTBLANK(O414:AJ414))&amp;" datos obligatorios",IF(NOT(ISNUMBER(B414)),"Fecha no válida",IF(N(B414)&gt;TODAY(),"Fecha futura",IF(IFERROR(VLOOKUP(E414,LISTAS!$A$2:$C$65,3,FALSE),"")&lt;&gt;D414,"La subregión no corresponde al municipio",IF(IF(L414="",FALSE,OR(L414&lt;0,L414&gt;110)),"Edad fuera de rango",IF((V414="Sí")+(W414="Sí")+(X414="Sí")+(Y414="Sí")=0,"Marque al menos un tipo de violencia","OK")))))))</f>
        <v/>
      </c>
    </row>
    <row r="415">
      <c r="A415" s="12">
        <f>IF(OR(F415="",F415="Revisar",C415=""),"",F415&amp;"-"&amp;C415&amp;"-"&amp;TEXT(COUNTIFS($F$2:F415,F415,$C$2:C415,C415),"0000"))</f>
        <v/>
      </c>
      <c r="B415" s="13" t="n"/>
      <c r="C415" s="12">
        <f>IF(ISNUMBER(B415),YEAR(B415),"")</f>
        <v/>
      </c>
      <c r="D415" s="14" t="n"/>
      <c r="E415" s="14" t="n"/>
      <c r="F415" s="12">
        <f>IF(E415="","",IFERROR(VLOOKUP(E415,LISTAS!$A$2:$C$65,2,FALSE),"Revisar"))</f>
        <v/>
      </c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2">
        <f>IF(COUNTA(B415:B415)+COUNTA(D415:E415)+COUNTA(G415:AJ415)=0,"",IF(COUNTBLANK(B415:B415)+COUNTBLANK(D415:E415)+COUNTBLANK(G415:G415)+COUNTBLANK(O415:AJ415)&gt;0,"Faltan "&amp;(COUNTBLANK(B415:B415)+COUNTBLANK(D415:E415)+COUNTBLANK(G415:G415)+COUNTBLANK(O415:AJ415))&amp;" datos obligatorios",IF(NOT(ISNUMBER(B415)),"Fecha no válida",IF(N(B415)&gt;TODAY(),"Fecha futura",IF(IFERROR(VLOOKUP(E415,LISTAS!$A$2:$C$65,3,FALSE),"")&lt;&gt;D415,"La subregión no corresponde al municipio",IF(IF(L415="",FALSE,OR(L415&lt;0,L415&gt;110)),"Edad fuera de rango",IF((V415="Sí")+(W415="Sí")+(X415="Sí")+(Y415="Sí")=0,"Marque al menos un tipo de violencia","OK")))))))</f>
        <v/>
      </c>
    </row>
    <row r="416">
      <c r="A416" s="12">
        <f>IF(OR(F416="",F416="Revisar",C416=""),"",F416&amp;"-"&amp;C416&amp;"-"&amp;TEXT(COUNTIFS($F$2:F416,F416,$C$2:C416,C416),"0000"))</f>
        <v/>
      </c>
      <c r="B416" s="13" t="n"/>
      <c r="C416" s="12">
        <f>IF(ISNUMBER(B416),YEAR(B416),"")</f>
        <v/>
      </c>
      <c r="D416" s="14" t="n"/>
      <c r="E416" s="14" t="n"/>
      <c r="F416" s="12">
        <f>IF(E416="","",IFERROR(VLOOKUP(E416,LISTAS!$A$2:$C$65,2,FALSE),"Revisar"))</f>
        <v/>
      </c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2">
        <f>IF(COUNTA(B416:B416)+COUNTA(D416:E416)+COUNTA(G416:AJ416)=0,"",IF(COUNTBLANK(B416:B416)+COUNTBLANK(D416:E416)+COUNTBLANK(G416:G416)+COUNTBLANK(O416:AJ416)&gt;0,"Faltan "&amp;(COUNTBLANK(B416:B416)+COUNTBLANK(D416:E416)+COUNTBLANK(G416:G416)+COUNTBLANK(O416:AJ416))&amp;" datos obligatorios",IF(NOT(ISNUMBER(B416)),"Fecha no válida",IF(N(B416)&gt;TODAY(),"Fecha futura",IF(IFERROR(VLOOKUP(E416,LISTAS!$A$2:$C$65,3,FALSE),"")&lt;&gt;D416,"La subregión no corresponde al municipio",IF(IF(L416="",FALSE,OR(L416&lt;0,L416&gt;110)),"Edad fuera de rango",IF((V416="Sí")+(W416="Sí")+(X416="Sí")+(Y416="Sí")=0,"Marque al menos un tipo de violencia","OK")))))))</f>
        <v/>
      </c>
    </row>
    <row r="417">
      <c r="A417" s="12">
        <f>IF(OR(F417="",F417="Revisar",C417=""),"",F417&amp;"-"&amp;C417&amp;"-"&amp;TEXT(COUNTIFS($F$2:F417,F417,$C$2:C417,C417),"0000"))</f>
        <v/>
      </c>
      <c r="B417" s="13" t="n"/>
      <c r="C417" s="12">
        <f>IF(ISNUMBER(B417),YEAR(B417),"")</f>
        <v/>
      </c>
      <c r="D417" s="14" t="n"/>
      <c r="E417" s="14" t="n"/>
      <c r="F417" s="12">
        <f>IF(E417="","",IFERROR(VLOOKUP(E417,LISTAS!$A$2:$C$65,2,FALSE),"Revisar"))</f>
        <v/>
      </c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2">
        <f>IF(COUNTA(B417:B417)+COUNTA(D417:E417)+COUNTA(G417:AJ417)=0,"",IF(COUNTBLANK(B417:B417)+COUNTBLANK(D417:E417)+COUNTBLANK(G417:G417)+COUNTBLANK(O417:AJ417)&gt;0,"Faltan "&amp;(COUNTBLANK(B417:B417)+COUNTBLANK(D417:E417)+COUNTBLANK(G417:G417)+COUNTBLANK(O417:AJ417))&amp;" datos obligatorios",IF(NOT(ISNUMBER(B417)),"Fecha no válida",IF(N(B417)&gt;TODAY(),"Fecha futura",IF(IFERROR(VLOOKUP(E417,LISTAS!$A$2:$C$65,3,FALSE),"")&lt;&gt;D417,"La subregión no corresponde al municipio",IF(IF(L417="",FALSE,OR(L417&lt;0,L417&gt;110)),"Edad fuera de rango",IF((V417="Sí")+(W417="Sí")+(X417="Sí")+(Y417="Sí")=0,"Marque al menos un tipo de violencia","OK")))))))</f>
        <v/>
      </c>
    </row>
    <row r="418">
      <c r="A418" s="12">
        <f>IF(OR(F418="",F418="Revisar",C418=""),"",F418&amp;"-"&amp;C418&amp;"-"&amp;TEXT(COUNTIFS($F$2:F418,F418,$C$2:C418,C418),"0000"))</f>
        <v/>
      </c>
      <c r="B418" s="13" t="n"/>
      <c r="C418" s="12">
        <f>IF(ISNUMBER(B418),YEAR(B418),"")</f>
        <v/>
      </c>
      <c r="D418" s="14" t="n"/>
      <c r="E418" s="14" t="n"/>
      <c r="F418" s="12">
        <f>IF(E418="","",IFERROR(VLOOKUP(E418,LISTAS!$A$2:$C$65,2,FALSE),"Revisar"))</f>
        <v/>
      </c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2">
        <f>IF(COUNTA(B418:B418)+COUNTA(D418:E418)+COUNTA(G418:AJ418)=0,"",IF(COUNTBLANK(B418:B418)+COUNTBLANK(D418:E418)+COUNTBLANK(G418:G418)+COUNTBLANK(O418:AJ418)&gt;0,"Faltan "&amp;(COUNTBLANK(B418:B418)+COUNTBLANK(D418:E418)+COUNTBLANK(G418:G418)+COUNTBLANK(O418:AJ418))&amp;" datos obligatorios",IF(NOT(ISNUMBER(B418)),"Fecha no válida",IF(N(B418)&gt;TODAY(),"Fecha futura",IF(IFERROR(VLOOKUP(E418,LISTAS!$A$2:$C$65,3,FALSE),"")&lt;&gt;D418,"La subregión no corresponde al municipio",IF(IF(L418="",FALSE,OR(L418&lt;0,L418&gt;110)),"Edad fuera de rango",IF((V418="Sí")+(W418="Sí")+(X418="Sí")+(Y418="Sí")=0,"Marque al menos un tipo de violencia","OK")))))))</f>
        <v/>
      </c>
    </row>
    <row r="419">
      <c r="A419" s="12">
        <f>IF(OR(F419="",F419="Revisar",C419=""),"",F419&amp;"-"&amp;C419&amp;"-"&amp;TEXT(COUNTIFS($F$2:F419,F419,$C$2:C419,C419),"0000"))</f>
        <v/>
      </c>
      <c r="B419" s="13" t="n"/>
      <c r="C419" s="12">
        <f>IF(ISNUMBER(B419),YEAR(B419),"")</f>
        <v/>
      </c>
      <c r="D419" s="14" t="n"/>
      <c r="E419" s="14" t="n"/>
      <c r="F419" s="12">
        <f>IF(E419="","",IFERROR(VLOOKUP(E419,LISTAS!$A$2:$C$65,2,FALSE),"Revisar"))</f>
        <v/>
      </c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2">
        <f>IF(COUNTA(B419:B419)+COUNTA(D419:E419)+COUNTA(G419:AJ419)=0,"",IF(COUNTBLANK(B419:B419)+COUNTBLANK(D419:E419)+COUNTBLANK(G419:G419)+COUNTBLANK(O419:AJ419)&gt;0,"Faltan "&amp;(COUNTBLANK(B419:B419)+COUNTBLANK(D419:E419)+COUNTBLANK(G419:G419)+COUNTBLANK(O419:AJ419))&amp;" datos obligatorios",IF(NOT(ISNUMBER(B419)),"Fecha no válida",IF(N(B419)&gt;TODAY(),"Fecha futura",IF(IFERROR(VLOOKUP(E419,LISTAS!$A$2:$C$65,3,FALSE),"")&lt;&gt;D419,"La subregión no corresponde al municipio",IF(IF(L419="",FALSE,OR(L419&lt;0,L419&gt;110)),"Edad fuera de rango",IF((V419="Sí")+(W419="Sí")+(X419="Sí")+(Y419="Sí")=0,"Marque al menos un tipo de violencia","OK")))))))</f>
        <v/>
      </c>
    </row>
    <row r="420">
      <c r="A420" s="12">
        <f>IF(OR(F420="",F420="Revisar",C420=""),"",F420&amp;"-"&amp;C420&amp;"-"&amp;TEXT(COUNTIFS($F$2:F420,F420,$C$2:C420,C420),"0000"))</f>
        <v/>
      </c>
      <c r="B420" s="13" t="n"/>
      <c r="C420" s="12">
        <f>IF(ISNUMBER(B420),YEAR(B420),"")</f>
        <v/>
      </c>
      <c r="D420" s="14" t="n"/>
      <c r="E420" s="14" t="n"/>
      <c r="F420" s="12">
        <f>IF(E420="","",IFERROR(VLOOKUP(E420,LISTAS!$A$2:$C$65,2,FALSE),"Revisar"))</f>
        <v/>
      </c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2">
        <f>IF(COUNTA(B420:B420)+COUNTA(D420:E420)+COUNTA(G420:AJ420)=0,"",IF(COUNTBLANK(B420:B420)+COUNTBLANK(D420:E420)+COUNTBLANK(G420:G420)+COUNTBLANK(O420:AJ420)&gt;0,"Faltan "&amp;(COUNTBLANK(B420:B420)+COUNTBLANK(D420:E420)+COUNTBLANK(G420:G420)+COUNTBLANK(O420:AJ420))&amp;" datos obligatorios",IF(NOT(ISNUMBER(B420)),"Fecha no válida",IF(N(B420)&gt;TODAY(),"Fecha futura",IF(IFERROR(VLOOKUP(E420,LISTAS!$A$2:$C$65,3,FALSE),"")&lt;&gt;D420,"La subregión no corresponde al municipio",IF(IF(L420="",FALSE,OR(L420&lt;0,L420&gt;110)),"Edad fuera de rango",IF((V420="Sí")+(W420="Sí")+(X420="Sí")+(Y420="Sí")=0,"Marque al menos un tipo de violencia","OK")))))))</f>
        <v/>
      </c>
    </row>
    <row r="421">
      <c r="A421" s="12">
        <f>IF(OR(F421="",F421="Revisar",C421=""),"",F421&amp;"-"&amp;C421&amp;"-"&amp;TEXT(COUNTIFS($F$2:F421,F421,$C$2:C421,C421),"0000"))</f>
        <v/>
      </c>
      <c r="B421" s="13" t="n"/>
      <c r="C421" s="12">
        <f>IF(ISNUMBER(B421),YEAR(B421),"")</f>
        <v/>
      </c>
      <c r="D421" s="14" t="n"/>
      <c r="E421" s="14" t="n"/>
      <c r="F421" s="12">
        <f>IF(E421="","",IFERROR(VLOOKUP(E421,LISTAS!$A$2:$C$65,2,FALSE),"Revisar"))</f>
        <v/>
      </c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2">
        <f>IF(COUNTA(B421:B421)+COUNTA(D421:E421)+COUNTA(G421:AJ421)=0,"",IF(COUNTBLANK(B421:B421)+COUNTBLANK(D421:E421)+COUNTBLANK(G421:G421)+COUNTBLANK(O421:AJ421)&gt;0,"Faltan "&amp;(COUNTBLANK(B421:B421)+COUNTBLANK(D421:E421)+COUNTBLANK(G421:G421)+COUNTBLANK(O421:AJ421))&amp;" datos obligatorios",IF(NOT(ISNUMBER(B421)),"Fecha no válida",IF(N(B421)&gt;TODAY(),"Fecha futura",IF(IFERROR(VLOOKUP(E421,LISTAS!$A$2:$C$65,3,FALSE),"")&lt;&gt;D421,"La subregión no corresponde al municipio",IF(IF(L421="",FALSE,OR(L421&lt;0,L421&gt;110)),"Edad fuera de rango",IF((V421="Sí")+(W421="Sí")+(X421="Sí")+(Y421="Sí")=0,"Marque al menos un tipo de violencia","OK")))))))</f>
        <v/>
      </c>
    </row>
    <row r="422">
      <c r="A422" s="12">
        <f>IF(OR(F422="",F422="Revisar",C422=""),"",F422&amp;"-"&amp;C422&amp;"-"&amp;TEXT(COUNTIFS($F$2:F422,F422,$C$2:C422,C422),"0000"))</f>
        <v/>
      </c>
      <c r="B422" s="13" t="n"/>
      <c r="C422" s="12">
        <f>IF(ISNUMBER(B422),YEAR(B422),"")</f>
        <v/>
      </c>
      <c r="D422" s="14" t="n"/>
      <c r="E422" s="14" t="n"/>
      <c r="F422" s="12">
        <f>IF(E422="","",IFERROR(VLOOKUP(E422,LISTAS!$A$2:$C$65,2,FALSE),"Revisar"))</f>
        <v/>
      </c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2">
        <f>IF(COUNTA(B422:B422)+COUNTA(D422:E422)+COUNTA(G422:AJ422)=0,"",IF(COUNTBLANK(B422:B422)+COUNTBLANK(D422:E422)+COUNTBLANK(G422:G422)+COUNTBLANK(O422:AJ422)&gt;0,"Faltan "&amp;(COUNTBLANK(B422:B422)+COUNTBLANK(D422:E422)+COUNTBLANK(G422:G422)+COUNTBLANK(O422:AJ422))&amp;" datos obligatorios",IF(NOT(ISNUMBER(B422)),"Fecha no válida",IF(N(B422)&gt;TODAY(),"Fecha futura",IF(IFERROR(VLOOKUP(E422,LISTAS!$A$2:$C$65,3,FALSE),"")&lt;&gt;D422,"La subregión no corresponde al municipio",IF(IF(L422="",FALSE,OR(L422&lt;0,L422&gt;110)),"Edad fuera de rango",IF((V422="Sí")+(W422="Sí")+(X422="Sí")+(Y422="Sí")=0,"Marque al menos un tipo de violencia","OK")))))))</f>
        <v/>
      </c>
    </row>
    <row r="423">
      <c r="A423" s="12">
        <f>IF(OR(F423="",F423="Revisar",C423=""),"",F423&amp;"-"&amp;C423&amp;"-"&amp;TEXT(COUNTIFS($F$2:F423,F423,$C$2:C423,C423),"0000"))</f>
        <v/>
      </c>
      <c r="B423" s="13" t="n"/>
      <c r="C423" s="12">
        <f>IF(ISNUMBER(B423),YEAR(B423),"")</f>
        <v/>
      </c>
      <c r="D423" s="14" t="n"/>
      <c r="E423" s="14" t="n"/>
      <c r="F423" s="12">
        <f>IF(E423="","",IFERROR(VLOOKUP(E423,LISTAS!$A$2:$C$65,2,FALSE),"Revisar"))</f>
        <v/>
      </c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2">
        <f>IF(COUNTA(B423:B423)+COUNTA(D423:E423)+COUNTA(G423:AJ423)=0,"",IF(COUNTBLANK(B423:B423)+COUNTBLANK(D423:E423)+COUNTBLANK(G423:G423)+COUNTBLANK(O423:AJ423)&gt;0,"Faltan "&amp;(COUNTBLANK(B423:B423)+COUNTBLANK(D423:E423)+COUNTBLANK(G423:G423)+COUNTBLANK(O423:AJ423))&amp;" datos obligatorios",IF(NOT(ISNUMBER(B423)),"Fecha no válida",IF(N(B423)&gt;TODAY(),"Fecha futura",IF(IFERROR(VLOOKUP(E423,LISTAS!$A$2:$C$65,3,FALSE),"")&lt;&gt;D423,"La subregión no corresponde al municipio",IF(IF(L423="",FALSE,OR(L423&lt;0,L423&gt;110)),"Edad fuera de rango",IF((V423="Sí")+(W423="Sí")+(X423="Sí")+(Y423="Sí")=0,"Marque al menos un tipo de violencia","OK")))))))</f>
        <v/>
      </c>
    </row>
    <row r="424">
      <c r="A424" s="12">
        <f>IF(OR(F424="",F424="Revisar",C424=""),"",F424&amp;"-"&amp;C424&amp;"-"&amp;TEXT(COUNTIFS($F$2:F424,F424,$C$2:C424,C424),"0000"))</f>
        <v/>
      </c>
      <c r="B424" s="13" t="n"/>
      <c r="C424" s="12">
        <f>IF(ISNUMBER(B424),YEAR(B424),"")</f>
        <v/>
      </c>
      <c r="D424" s="14" t="n"/>
      <c r="E424" s="14" t="n"/>
      <c r="F424" s="12">
        <f>IF(E424="","",IFERROR(VLOOKUP(E424,LISTAS!$A$2:$C$65,2,FALSE),"Revisar"))</f>
        <v/>
      </c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2">
        <f>IF(COUNTA(B424:B424)+COUNTA(D424:E424)+COUNTA(G424:AJ424)=0,"",IF(COUNTBLANK(B424:B424)+COUNTBLANK(D424:E424)+COUNTBLANK(G424:G424)+COUNTBLANK(O424:AJ424)&gt;0,"Faltan "&amp;(COUNTBLANK(B424:B424)+COUNTBLANK(D424:E424)+COUNTBLANK(G424:G424)+COUNTBLANK(O424:AJ424))&amp;" datos obligatorios",IF(NOT(ISNUMBER(B424)),"Fecha no válida",IF(N(B424)&gt;TODAY(),"Fecha futura",IF(IFERROR(VLOOKUP(E424,LISTAS!$A$2:$C$65,3,FALSE),"")&lt;&gt;D424,"La subregión no corresponde al municipio",IF(IF(L424="",FALSE,OR(L424&lt;0,L424&gt;110)),"Edad fuera de rango",IF((V424="Sí")+(W424="Sí")+(X424="Sí")+(Y424="Sí")=0,"Marque al menos un tipo de violencia","OK")))))))</f>
        <v/>
      </c>
    </row>
    <row r="425">
      <c r="A425" s="12">
        <f>IF(OR(F425="",F425="Revisar",C425=""),"",F425&amp;"-"&amp;C425&amp;"-"&amp;TEXT(COUNTIFS($F$2:F425,F425,$C$2:C425,C425),"0000"))</f>
        <v/>
      </c>
      <c r="B425" s="13" t="n"/>
      <c r="C425" s="12">
        <f>IF(ISNUMBER(B425),YEAR(B425),"")</f>
        <v/>
      </c>
      <c r="D425" s="14" t="n"/>
      <c r="E425" s="14" t="n"/>
      <c r="F425" s="12">
        <f>IF(E425="","",IFERROR(VLOOKUP(E425,LISTAS!$A$2:$C$65,2,FALSE),"Revisar"))</f>
        <v/>
      </c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2">
        <f>IF(COUNTA(B425:B425)+COUNTA(D425:E425)+COUNTA(G425:AJ425)=0,"",IF(COUNTBLANK(B425:B425)+COUNTBLANK(D425:E425)+COUNTBLANK(G425:G425)+COUNTBLANK(O425:AJ425)&gt;0,"Faltan "&amp;(COUNTBLANK(B425:B425)+COUNTBLANK(D425:E425)+COUNTBLANK(G425:G425)+COUNTBLANK(O425:AJ425))&amp;" datos obligatorios",IF(NOT(ISNUMBER(B425)),"Fecha no válida",IF(N(B425)&gt;TODAY(),"Fecha futura",IF(IFERROR(VLOOKUP(E425,LISTAS!$A$2:$C$65,3,FALSE),"")&lt;&gt;D425,"La subregión no corresponde al municipio",IF(IF(L425="",FALSE,OR(L425&lt;0,L425&gt;110)),"Edad fuera de rango",IF((V425="Sí")+(W425="Sí")+(X425="Sí")+(Y425="Sí")=0,"Marque al menos un tipo de violencia","OK")))))))</f>
        <v/>
      </c>
    </row>
    <row r="426">
      <c r="A426" s="12">
        <f>IF(OR(F426="",F426="Revisar",C426=""),"",F426&amp;"-"&amp;C426&amp;"-"&amp;TEXT(COUNTIFS($F$2:F426,F426,$C$2:C426,C426),"0000"))</f>
        <v/>
      </c>
      <c r="B426" s="13" t="n"/>
      <c r="C426" s="12">
        <f>IF(ISNUMBER(B426),YEAR(B426),"")</f>
        <v/>
      </c>
      <c r="D426" s="14" t="n"/>
      <c r="E426" s="14" t="n"/>
      <c r="F426" s="12">
        <f>IF(E426="","",IFERROR(VLOOKUP(E426,LISTAS!$A$2:$C$65,2,FALSE),"Revisar"))</f>
        <v/>
      </c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2">
        <f>IF(COUNTA(B426:B426)+COUNTA(D426:E426)+COUNTA(G426:AJ426)=0,"",IF(COUNTBLANK(B426:B426)+COUNTBLANK(D426:E426)+COUNTBLANK(G426:G426)+COUNTBLANK(O426:AJ426)&gt;0,"Faltan "&amp;(COUNTBLANK(B426:B426)+COUNTBLANK(D426:E426)+COUNTBLANK(G426:G426)+COUNTBLANK(O426:AJ426))&amp;" datos obligatorios",IF(NOT(ISNUMBER(B426)),"Fecha no válida",IF(N(B426)&gt;TODAY(),"Fecha futura",IF(IFERROR(VLOOKUP(E426,LISTAS!$A$2:$C$65,3,FALSE),"")&lt;&gt;D426,"La subregión no corresponde al municipio",IF(IF(L426="",FALSE,OR(L426&lt;0,L426&gt;110)),"Edad fuera de rango",IF((V426="Sí")+(W426="Sí")+(X426="Sí")+(Y426="Sí")=0,"Marque al menos un tipo de violencia","OK")))))))</f>
        <v/>
      </c>
    </row>
    <row r="427">
      <c r="A427" s="12">
        <f>IF(OR(F427="",F427="Revisar",C427=""),"",F427&amp;"-"&amp;C427&amp;"-"&amp;TEXT(COUNTIFS($F$2:F427,F427,$C$2:C427,C427),"0000"))</f>
        <v/>
      </c>
      <c r="B427" s="13" t="n"/>
      <c r="C427" s="12">
        <f>IF(ISNUMBER(B427),YEAR(B427),"")</f>
        <v/>
      </c>
      <c r="D427" s="14" t="n"/>
      <c r="E427" s="14" t="n"/>
      <c r="F427" s="12">
        <f>IF(E427="","",IFERROR(VLOOKUP(E427,LISTAS!$A$2:$C$65,2,FALSE),"Revisar"))</f>
        <v/>
      </c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2">
        <f>IF(COUNTA(B427:B427)+COUNTA(D427:E427)+COUNTA(G427:AJ427)=0,"",IF(COUNTBLANK(B427:B427)+COUNTBLANK(D427:E427)+COUNTBLANK(G427:G427)+COUNTBLANK(O427:AJ427)&gt;0,"Faltan "&amp;(COUNTBLANK(B427:B427)+COUNTBLANK(D427:E427)+COUNTBLANK(G427:G427)+COUNTBLANK(O427:AJ427))&amp;" datos obligatorios",IF(NOT(ISNUMBER(B427)),"Fecha no válida",IF(N(B427)&gt;TODAY(),"Fecha futura",IF(IFERROR(VLOOKUP(E427,LISTAS!$A$2:$C$65,3,FALSE),"")&lt;&gt;D427,"La subregión no corresponde al municipio",IF(IF(L427="",FALSE,OR(L427&lt;0,L427&gt;110)),"Edad fuera de rango",IF((V427="Sí")+(W427="Sí")+(X427="Sí")+(Y427="Sí")=0,"Marque al menos un tipo de violencia","OK")))))))</f>
        <v/>
      </c>
    </row>
    <row r="428">
      <c r="A428" s="12">
        <f>IF(OR(F428="",F428="Revisar",C428=""),"",F428&amp;"-"&amp;C428&amp;"-"&amp;TEXT(COUNTIFS($F$2:F428,F428,$C$2:C428,C428),"0000"))</f>
        <v/>
      </c>
      <c r="B428" s="13" t="n"/>
      <c r="C428" s="12">
        <f>IF(ISNUMBER(B428),YEAR(B428),"")</f>
        <v/>
      </c>
      <c r="D428" s="14" t="n"/>
      <c r="E428" s="14" t="n"/>
      <c r="F428" s="12">
        <f>IF(E428="","",IFERROR(VLOOKUP(E428,LISTAS!$A$2:$C$65,2,FALSE),"Revisar"))</f>
        <v/>
      </c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2">
        <f>IF(COUNTA(B428:B428)+COUNTA(D428:E428)+COUNTA(G428:AJ428)=0,"",IF(COUNTBLANK(B428:B428)+COUNTBLANK(D428:E428)+COUNTBLANK(G428:G428)+COUNTBLANK(O428:AJ428)&gt;0,"Faltan "&amp;(COUNTBLANK(B428:B428)+COUNTBLANK(D428:E428)+COUNTBLANK(G428:G428)+COUNTBLANK(O428:AJ428))&amp;" datos obligatorios",IF(NOT(ISNUMBER(B428)),"Fecha no válida",IF(N(B428)&gt;TODAY(),"Fecha futura",IF(IFERROR(VLOOKUP(E428,LISTAS!$A$2:$C$65,3,FALSE),"")&lt;&gt;D428,"La subregión no corresponde al municipio",IF(IF(L428="",FALSE,OR(L428&lt;0,L428&gt;110)),"Edad fuera de rango",IF((V428="Sí")+(W428="Sí")+(X428="Sí")+(Y428="Sí")=0,"Marque al menos un tipo de violencia","OK")))))))</f>
        <v/>
      </c>
    </row>
    <row r="429">
      <c r="A429" s="12">
        <f>IF(OR(F429="",F429="Revisar",C429=""),"",F429&amp;"-"&amp;C429&amp;"-"&amp;TEXT(COUNTIFS($F$2:F429,F429,$C$2:C429,C429),"0000"))</f>
        <v/>
      </c>
      <c r="B429" s="13" t="n"/>
      <c r="C429" s="12">
        <f>IF(ISNUMBER(B429),YEAR(B429),"")</f>
        <v/>
      </c>
      <c r="D429" s="14" t="n"/>
      <c r="E429" s="14" t="n"/>
      <c r="F429" s="12">
        <f>IF(E429="","",IFERROR(VLOOKUP(E429,LISTAS!$A$2:$C$65,2,FALSE),"Revisar"))</f>
        <v/>
      </c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2">
        <f>IF(COUNTA(B429:B429)+COUNTA(D429:E429)+COUNTA(G429:AJ429)=0,"",IF(COUNTBLANK(B429:B429)+COUNTBLANK(D429:E429)+COUNTBLANK(G429:G429)+COUNTBLANK(O429:AJ429)&gt;0,"Faltan "&amp;(COUNTBLANK(B429:B429)+COUNTBLANK(D429:E429)+COUNTBLANK(G429:G429)+COUNTBLANK(O429:AJ429))&amp;" datos obligatorios",IF(NOT(ISNUMBER(B429)),"Fecha no válida",IF(N(B429)&gt;TODAY(),"Fecha futura",IF(IFERROR(VLOOKUP(E429,LISTAS!$A$2:$C$65,3,FALSE),"")&lt;&gt;D429,"La subregión no corresponde al municipio",IF(IF(L429="",FALSE,OR(L429&lt;0,L429&gt;110)),"Edad fuera de rango",IF((V429="Sí")+(W429="Sí")+(X429="Sí")+(Y429="Sí")=0,"Marque al menos un tipo de violencia","OK")))))))</f>
        <v/>
      </c>
    </row>
    <row r="430">
      <c r="A430" s="12">
        <f>IF(OR(F430="",F430="Revisar",C430=""),"",F430&amp;"-"&amp;C430&amp;"-"&amp;TEXT(COUNTIFS($F$2:F430,F430,$C$2:C430,C430),"0000"))</f>
        <v/>
      </c>
      <c r="B430" s="13" t="n"/>
      <c r="C430" s="12">
        <f>IF(ISNUMBER(B430),YEAR(B430),"")</f>
        <v/>
      </c>
      <c r="D430" s="14" t="n"/>
      <c r="E430" s="14" t="n"/>
      <c r="F430" s="12">
        <f>IF(E430="","",IFERROR(VLOOKUP(E430,LISTAS!$A$2:$C$65,2,FALSE),"Revisar"))</f>
        <v/>
      </c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2">
        <f>IF(COUNTA(B430:B430)+COUNTA(D430:E430)+COUNTA(G430:AJ430)=0,"",IF(COUNTBLANK(B430:B430)+COUNTBLANK(D430:E430)+COUNTBLANK(G430:G430)+COUNTBLANK(O430:AJ430)&gt;0,"Faltan "&amp;(COUNTBLANK(B430:B430)+COUNTBLANK(D430:E430)+COUNTBLANK(G430:G430)+COUNTBLANK(O430:AJ430))&amp;" datos obligatorios",IF(NOT(ISNUMBER(B430)),"Fecha no válida",IF(N(B430)&gt;TODAY(),"Fecha futura",IF(IFERROR(VLOOKUP(E430,LISTAS!$A$2:$C$65,3,FALSE),"")&lt;&gt;D430,"La subregión no corresponde al municipio",IF(IF(L430="",FALSE,OR(L430&lt;0,L430&gt;110)),"Edad fuera de rango",IF((V430="Sí")+(W430="Sí")+(X430="Sí")+(Y430="Sí")=0,"Marque al menos un tipo de violencia","OK")))))))</f>
        <v/>
      </c>
    </row>
    <row r="431">
      <c r="A431" s="12">
        <f>IF(OR(F431="",F431="Revisar",C431=""),"",F431&amp;"-"&amp;C431&amp;"-"&amp;TEXT(COUNTIFS($F$2:F431,F431,$C$2:C431,C431),"0000"))</f>
        <v/>
      </c>
      <c r="B431" s="13" t="n"/>
      <c r="C431" s="12">
        <f>IF(ISNUMBER(B431),YEAR(B431),"")</f>
        <v/>
      </c>
      <c r="D431" s="14" t="n"/>
      <c r="E431" s="14" t="n"/>
      <c r="F431" s="12">
        <f>IF(E431="","",IFERROR(VLOOKUP(E431,LISTAS!$A$2:$C$65,2,FALSE),"Revisar"))</f>
        <v/>
      </c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2">
        <f>IF(COUNTA(B431:B431)+COUNTA(D431:E431)+COUNTA(G431:AJ431)=0,"",IF(COUNTBLANK(B431:B431)+COUNTBLANK(D431:E431)+COUNTBLANK(G431:G431)+COUNTBLANK(O431:AJ431)&gt;0,"Faltan "&amp;(COUNTBLANK(B431:B431)+COUNTBLANK(D431:E431)+COUNTBLANK(G431:G431)+COUNTBLANK(O431:AJ431))&amp;" datos obligatorios",IF(NOT(ISNUMBER(B431)),"Fecha no válida",IF(N(B431)&gt;TODAY(),"Fecha futura",IF(IFERROR(VLOOKUP(E431,LISTAS!$A$2:$C$65,3,FALSE),"")&lt;&gt;D431,"La subregión no corresponde al municipio",IF(IF(L431="",FALSE,OR(L431&lt;0,L431&gt;110)),"Edad fuera de rango",IF((V431="Sí")+(W431="Sí")+(X431="Sí")+(Y431="Sí")=0,"Marque al menos un tipo de violencia","OK")))))))</f>
        <v/>
      </c>
    </row>
    <row r="432">
      <c r="A432" s="12">
        <f>IF(OR(F432="",F432="Revisar",C432=""),"",F432&amp;"-"&amp;C432&amp;"-"&amp;TEXT(COUNTIFS($F$2:F432,F432,$C$2:C432,C432),"0000"))</f>
        <v/>
      </c>
      <c r="B432" s="13" t="n"/>
      <c r="C432" s="12">
        <f>IF(ISNUMBER(B432),YEAR(B432),"")</f>
        <v/>
      </c>
      <c r="D432" s="14" t="n"/>
      <c r="E432" s="14" t="n"/>
      <c r="F432" s="12">
        <f>IF(E432="","",IFERROR(VLOOKUP(E432,LISTAS!$A$2:$C$65,2,FALSE),"Revisar"))</f>
        <v/>
      </c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2">
        <f>IF(COUNTA(B432:B432)+COUNTA(D432:E432)+COUNTA(G432:AJ432)=0,"",IF(COUNTBLANK(B432:B432)+COUNTBLANK(D432:E432)+COUNTBLANK(G432:G432)+COUNTBLANK(O432:AJ432)&gt;0,"Faltan "&amp;(COUNTBLANK(B432:B432)+COUNTBLANK(D432:E432)+COUNTBLANK(G432:G432)+COUNTBLANK(O432:AJ432))&amp;" datos obligatorios",IF(NOT(ISNUMBER(B432)),"Fecha no válida",IF(N(B432)&gt;TODAY(),"Fecha futura",IF(IFERROR(VLOOKUP(E432,LISTAS!$A$2:$C$65,3,FALSE),"")&lt;&gt;D432,"La subregión no corresponde al municipio",IF(IF(L432="",FALSE,OR(L432&lt;0,L432&gt;110)),"Edad fuera de rango",IF((V432="Sí")+(W432="Sí")+(X432="Sí")+(Y432="Sí")=0,"Marque al menos un tipo de violencia","OK")))))))</f>
        <v/>
      </c>
    </row>
    <row r="433">
      <c r="A433" s="12">
        <f>IF(OR(F433="",F433="Revisar",C433=""),"",F433&amp;"-"&amp;C433&amp;"-"&amp;TEXT(COUNTIFS($F$2:F433,F433,$C$2:C433,C433),"0000"))</f>
        <v/>
      </c>
      <c r="B433" s="13" t="n"/>
      <c r="C433" s="12">
        <f>IF(ISNUMBER(B433),YEAR(B433),"")</f>
        <v/>
      </c>
      <c r="D433" s="14" t="n"/>
      <c r="E433" s="14" t="n"/>
      <c r="F433" s="12">
        <f>IF(E433="","",IFERROR(VLOOKUP(E433,LISTAS!$A$2:$C$65,2,FALSE),"Revisar"))</f>
        <v/>
      </c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2">
        <f>IF(COUNTA(B433:B433)+COUNTA(D433:E433)+COUNTA(G433:AJ433)=0,"",IF(COUNTBLANK(B433:B433)+COUNTBLANK(D433:E433)+COUNTBLANK(G433:G433)+COUNTBLANK(O433:AJ433)&gt;0,"Faltan "&amp;(COUNTBLANK(B433:B433)+COUNTBLANK(D433:E433)+COUNTBLANK(G433:G433)+COUNTBLANK(O433:AJ433))&amp;" datos obligatorios",IF(NOT(ISNUMBER(B433)),"Fecha no válida",IF(N(B433)&gt;TODAY(),"Fecha futura",IF(IFERROR(VLOOKUP(E433,LISTAS!$A$2:$C$65,3,FALSE),"")&lt;&gt;D433,"La subregión no corresponde al municipio",IF(IF(L433="",FALSE,OR(L433&lt;0,L433&gt;110)),"Edad fuera de rango",IF((V433="Sí")+(W433="Sí")+(X433="Sí")+(Y433="Sí")=0,"Marque al menos un tipo de violencia","OK")))))))</f>
        <v/>
      </c>
    </row>
    <row r="434">
      <c r="A434" s="12">
        <f>IF(OR(F434="",F434="Revisar",C434=""),"",F434&amp;"-"&amp;C434&amp;"-"&amp;TEXT(COUNTIFS($F$2:F434,F434,$C$2:C434,C434),"0000"))</f>
        <v/>
      </c>
      <c r="B434" s="13" t="n"/>
      <c r="C434" s="12">
        <f>IF(ISNUMBER(B434),YEAR(B434),"")</f>
        <v/>
      </c>
      <c r="D434" s="14" t="n"/>
      <c r="E434" s="14" t="n"/>
      <c r="F434" s="12">
        <f>IF(E434="","",IFERROR(VLOOKUP(E434,LISTAS!$A$2:$C$65,2,FALSE),"Revisar"))</f>
        <v/>
      </c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2">
        <f>IF(COUNTA(B434:B434)+COUNTA(D434:E434)+COUNTA(G434:AJ434)=0,"",IF(COUNTBLANK(B434:B434)+COUNTBLANK(D434:E434)+COUNTBLANK(G434:G434)+COUNTBLANK(O434:AJ434)&gt;0,"Faltan "&amp;(COUNTBLANK(B434:B434)+COUNTBLANK(D434:E434)+COUNTBLANK(G434:G434)+COUNTBLANK(O434:AJ434))&amp;" datos obligatorios",IF(NOT(ISNUMBER(B434)),"Fecha no válida",IF(N(B434)&gt;TODAY(),"Fecha futura",IF(IFERROR(VLOOKUP(E434,LISTAS!$A$2:$C$65,3,FALSE),"")&lt;&gt;D434,"La subregión no corresponde al municipio",IF(IF(L434="",FALSE,OR(L434&lt;0,L434&gt;110)),"Edad fuera de rango",IF((V434="Sí")+(W434="Sí")+(X434="Sí")+(Y434="Sí")=0,"Marque al menos un tipo de violencia","OK")))))))</f>
        <v/>
      </c>
    </row>
    <row r="435">
      <c r="A435" s="12">
        <f>IF(OR(F435="",F435="Revisar",C435=""),"",F435&amp;"-"&amp;C435&amp;"-"&amp;TEXT(COUNTIFS($F$2:F435,F435,$C$2:C435,C435),"0000"))</f>
        <v/>
      </c>
      <c r="B435" s="13" t="n"/>
      <c r="C435" s="12">
        <f>IF(ISNUMBER(B435),YEAR(B435),"")</f>
        <v/>
      </c>
      <c r="D435" s="14" t="n"/>
      <c r="E435" s="14" t="n"/>
      <c r="F435" s="12">
        <f>IF(E435="","",IFERROR(VLOOKUP(E435,LISTAS!$A$2:$C$65,2,FALSE),"Revisar"))</f>
        <v/>
      </c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2">
        <f>IF(COUNTA(B435:B435)+COUNTA(D435:E435)+COUNTA(G435:AJ435)=0,"",IF(COUNTBLANK(B435:B435)+COUNTBLANK(D435:E435)+COUNTBLANK(G435:G435)+COUNTBLANK(O435:AJ435)&gt;0,"Faltan "&amp;(COUNTBLANK(B435:B435)+COUNTBLANK(D435:E435)+COUNTBLANK(G435:G435)+COUNTBLANK(O435:AJ435))&amp;" datos obligatorios",IF(NOT(ISNUMBER(B435)),"Fecha no válida",IF(N(B435)&gt;TODAY(),"Fecha futura",IF(IFERROR(VLOOKUP(E435,LISTAS!$A$2:$C$65,3,FALSE),"")&lt;&gt;D435,"La subregión no corresponde al municipio",IF(IF(L435="",FALSE,OR(L435&lt;0,L435&gt;110)),"Edad fuera de rango",IF((V435="Sí")+(W435="Sí")+(X435="Sí")+(Y435="Sí")=0,"Marque al menos un tipo de violencia","OK")))))))</f>
        <v/>
      </c>
    </row>
    <row r="436">
      <c r="A436" s="12">
        <f>IF(OR(F436="",F436="Revisar",C436=""),"",F436&amp;"-"&amp;C436&amp;"-"&amp;TEXT(COUNTIFS($F$2:F436,F436,$C$2:C436,C436),"0000"))</f>
        <v/>
      </c>
      <c r="B436" s="13" t="n"/>
      <c r="C436" s="12">
        <f>IF(ISNUMBER(B436),YEAR(B436),"")</f>
        <v/>
      </c>
      <c r="D436" s="14" t="n"/>
      <c r="E436" s="14" t="n"/>
      <c r="F436" s="12">
        <f>IF(E436="","",IFERROR(VLOOKUP(E436,LISTAS!$A$2:$C$65,2,FALSE),"Revisar"))</f>
        <v/>
      </c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2">
        <f>IF(COUNTA(B436:B436)+COUNTA(D436:E436)+COUNTA(G436:AJ436)=0,"",IF(COUNTBLANK(B436:B436)+COUNTBLANK(D436:E436)+COUNTBLANK(G436:G436)+COUNTBLANK(O436:AJ436)&gt;0,"Faltan "&amp;(COUNTBLANK(B436:B436)+COUNTBLANK(D436:E436)+COUNTBLANK(G436:G436)+COUNTBLANK(O436:AJ436))&amp;" datos obligatorios",IF(NOT(ISNUMBER(B436)),"Fecha no válida",IF(N(B436)&gt;TODAY(),"Fecha futura",IF(IFERROR(VLOOKUP(E436,LISTAS!$A$2:$C$65,3,FALSE),"")&lt;&gt;D436,"La subregión no corresponde al municipio",IF(IF(L436="",FALSE,OR(L436&lt;0,L436&gt;110)),"Edad fuera de rango",IF((V436="Sí")+(W436="Sí")+(X436="Sí")+(Y436="Sí")=0,"Marque al menos un tipo de violencia","OK")))))))</f>
        <v/>
      </c>
    </row>
    <row r="437">
      <c r="A437" s="12">
        <f>IF(OR(F437="",F437="Revisar",C437=""),"",F437&amp;"-"&amp;C437&amp;"-"&amp;TEXT(COUNTIFS($F$2:F437,F437,$C$2:C437,C437),"0000"))</f>
        <v/>
      </c>
      <c r="B437" s="13" t="n"/>
      <c r="C437" s="12">
        <f>IF(ISNUMBER(B437),YEAR(B437),"")</f>
        <v/>
      </c>
      <c r="D437" s="14" t="n"/>
      <c r="E437" s="14" t="n"/>
      <c r="F437" s="12">
        <f>IF(E437="","",IFERROR(VLOOKUP(E437,LISTAS!$A$2:$C$65,2,FALSE),"Revisar"))</f>
        <v/>
      </c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2">
        <f>IF(COUNTA(B437:B437)+COUNTA(D437:E437)+COUNTA(G437:AJ437)=0,"",IF(COUNTBLANK(B437:B437)+COUNTBLANK(D437:E437)+COUNTBLANK(G437:G437)+COUNTBLANK(O437:AJ437)&gt;0,"Faltan "&amp;(COUNTBLANK(B437:B437)+COUNTBLANK(D437:E437)+COUNTBLANK(G437:G437)+COUNTBLANK(O437:AJ437))&amp;" datos obligatorios",IF(NOT(ISNUMBER(B437)),"Fecha no válida",IF(N(B437)&gt;TODAY(),"Fecha futura",IF(IFERROR(VLOOKUP(E437,LISTAS!$A$2:$C$65,3,FALSE),"")&lt;&gt;D437,"La subregión no corresponde al municipio",IF(IF(L437="",FALSE,OR(L437&lt;0,L437&gt;110)),"Edad fuera de rango",IF((V437="Sí")+(W437="Sí")+(X437="Sí")+(Y437="Sí")=0,"Marque al menos un tipo de violencia","OK")))))))</f>
        <v/>
      </c>
    </row>
    <row r="438">
      <c r="A438" s="12">
        <f>IF(OR(F438="",F438="Revisar",C438=""),"",F438&amp;"-"&amp;C438&amp;"-"&amp;TEXT(COUNTIFS($F$2:F438,F438,$C$2:C438,C438),"0000"))</f>
        <v/>
      </c>
      <c r="B438" s="13" t="n"/>
      <c r="C438" s="12">
        <f>IF(ISNUMBER(B438),YEAR(B438),"")</f>
        <v/>
      </c>
      <c r="D438" s="14" t="n"/>
      <c r="E438" s="14" t="n"/>
      <c r="F438" s="12">
        <f>IF(E438="","",IFERROR(VLOOKUP(E438,LISTAS!$A$2:$C$65,2,FALSE),"Revisar"))</f>
        <v/>
      </c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2">
        <f>IF(COUNTA(B438:B438)+COUNTA(D438:E438)+COUNTA(G438:AJ438)=0,"",IF(COUNTBLANK(B438:B438)+COUNTBLANK(D438:E438)+COUNTBLANK(G438:G438)+COUNTBLANK(O438:AJ438)&gt;0,"Faltan "&amp;(COUNTBLANK(B438:B438)+COUNTBLANK(D438:E438)+COUNTBLANK(G438:G438)+COUNTBLANK(O438:AJ438))&amp;" datos obligatorios",IF(NOT(ISNUMBER(B438)),"Fecha no válida",IF(N(B438)&gt;TODAY(),"Fecha futura",IF(IFERROR(VLOOKUP(E438,LISTAS!$A$2:$C$65,3,FALSE),"")&lt;&gt;D438,"La subregión no corresponde al municipio",IF(IF(L438="",FALSE,OR(L438&lt;0,L438&gt;110)),"Edad fuera de rango",IF((V438="Sí")+(W438="Sí")+(X438="Sí")+(Y438="Sí")=0,"Marque al menos un tipo de violencia","OK")))))))</f>
        <v/>
      </c>
    </row>
    <row r="439">
      <c r="A439" s="12">
        <f>IF(OR(F439="",F439="Revisar",C439=""),"",F439&amp;"-"&amp;C439&amp;"-"&amp;TEXT(COUNTIFS($F$2:F439,F439,$C$2:C439,C439),"0000"))</f>
        <v/>
      </c>
      <c r="B439" s="13" t="n"/>
      <c r="C439" s="12">
        <f>IF(ISNUMBER(B439),YEAR(B439),"")</f>
        <v/>
      </c>
      <c r="D439" s="14" t="n"/>
      <c r="E439" s="14" t="n"/>
      <c r="F439" s="12">
        <f>IF(E439="","",IFERROR(VLOOKUP(E439,LISTAS!$A$2:$C$65,2,FALSE),"Revisar"))</f>
        <v/>
      </c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2">
        <f>IF(COUNTA(B439:B439)+COUNTA(D439:E439)+COUNTA(G439:AJ439)=0,"",IF(COUNTBLANK(B439:B439)+COUNTBLANK(D439:E439)+COUNTBLANK(G439:G439)+COUNTBLANK(O439:AJ439)&gt;0,"Faltan "&amp;(COUNTBLANK(B439:B439)+COUNTBLANK(D439:E439)+COUNTBLANK(G439:G439)+COUNTBLANK(O439:AJ439))&amp;" datos obligatorios",IF(NOT(ISNUMBER(B439)),"Fecha no válida",IF(N(B439)&gt;TODAY(),"Fecha futura",IF(IFERROR(VLOOKUP(E439,LISTAS!$A$2:$C$65,3,FALSE),"")&lt;&gt;D439,"La subregión no corresponde al municipio",IF(IF(L439="",FALSE,OR(L439&lt;0,L439&gt;110)),"Edad fuera de rango",IF((V439="Sí")+(W439="Sí")+(X439="Sí")+(Y439="Sí")=0,"Marque al menos un tipo de violencia","OK")))))))</f>
        <v/>
      </c>
    </row>
    <row r="440">
      <c r="A440" s="12">
        <f>IF(OR(F440="",F440="Revisar",C440=""),"",F440&amp;"-"&amp;C440&amp;"-"&amp;TEXT(COUNTIFS($F$2:F440,F440,$C$2:C440,C440),"0000"))</f>
        <v/>
      </c>
      <c r="B440" s="13" t="n"/>
      <c r="C440" s="12">
        <f>IF(ISNUMBER(B440),YEAR(B440),"")</f>
        <v/>
      </c>
      <c r="D440" s="14" t="n"/>
      <c r="E440" s="14" t="n"/>
      <c r="F440" s="12">
        <f>IF(E440="","",IFERROR(VLOOKUP(E440,LISTAS!$A$2:$C$65,2,FALSE),"Revisar"))</f>
        <v/>
      </c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2">
        <f>IF(COUNTA(B440:B440)+COUNTA(D440:E440)+COUNTA(G440:AJ440)=0,"",IF(COUNTBLANK(B440:B440)+COUNTBLANK(D440:E440)+COUNTBLANK(G440:G440)+COUNTBLANK(O440:AJ440)&gt;0,"Faltan "&amp;(COUNTBLANK(B440:B440)+COUNTBLANK(D440:E440)+COUNTBLANK(G440:G440)+COUNTBLANK(O440:AJ440))&amp;" datos obligatorios",IF(NOT(ISNUMBER(B440)),"Fecha no válida",IF(N(B440)&gt;TODAY(),"Fecha futura",IF(IFERROR(VLOOKUP(E440,LISTAS!$A$2:$C$65,3,FALSE),"")&lt;&gt;D440,"La subregión no corresponde al municipio",IF(IF(L440="",FALSE,OR(L440&lt;0,L440&gt;110)),"Edad fuera de rango",IF((V440="Sí")+(W440="Sí")+(X440="Sí")+(Y440="Sí")=0,"Marque al menos un tipo de violencia","OK")))))))</f>
        <v/>
      </c>
    </row>
    <row r="441">
      <c r="A441" s="12">
        <f>IF(OR(F441="",F441="Revisar",C441=""),"",F441&amp;"-"&amp;C441&amp;"-"&amp;TEXT(COUNTIFS($F$2:F441,F441,$C$2:C441,C441),"0000"))</f>
        <v/>
      </c>
      <c r="B441" s="13" t="n"/>
      <c r="C441" s="12">
        <f>IF(ISNUMBER(B441),YEAR(B441),"")</f>
        <v/>
      </c>
      <c r="D441" s="14" t="n"/>
      <c r="E441" s="14" t="n"/>
      <c r="F441" s="12">
        <f>IF(E441="","",IFERROR(VLOOKUP(E441,LISTAS!$A$2:$C$65,2,FALSE),"Revisar"))</f>
        <v/>
      </c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2">
        <f>IF(COUNTA(B441:B441)+COUNTA(D441:E441)+COUNTA(G441:AJ441)=0,"",IF(COUNTBLANK(B441:B441)+COUNTBLANK(D441:E441)+COUNTBLANK(G441:G441)+COUNTBLANK(O441:AJ441)&gt;0,"Faltan "&amp;(COUNTBLANK(B441:B441)+COUNTBLANK(D441:E441)+COUNTBLANK(G441:G441)+COUNTBLANK(O441:AJ441))&amp;" datos obligatorios",IF(NOT(ISNUMBER(B441)),"Fecha no válida",IF(N(B441)&gt;TODAY(),"Fecha futura",IF(IFERROR(VLOOKUP(E441,LISTAS!$A$2:$C$65,3,FALSE),"")&lt;&gt;D441,"La subregión no corresponde al municipio",IF(IF(L441="",FALSE,OR(L441&lt;0,L441&gt;110)),"Edad fuera de rango",IF((V441="Sí")+(W441="Sí")+(X441="Sí")+(Y441="Sí")=0,"Marque al menos un tipo de violencia","OK")))))))</f>
        <v/>
      </c>
    </row>
    <row r="442">
      <c r="A442" s="12">
        <f>IF(OR(F442="",F442="Revisar",C442=""),"",F442&amp;"-"&amp;C442&amp;"-"&amp;TEXT(COUNTIFS($F$2:F442,F442,$C$2:C442,C442),"0000"))</f>
        <v/>
      </c>
      <c r="B442" s="13" t="n"/>
      <c r="C442" s="12">
        <f>IF(ISNUMBER(B442),YEAR(B442),"")</f>
        <v/>
      </c>
      <c r="D442" s="14" t="n"/>
      <c r="E442" s="14" t="n"/>
      <c r="F442" s="12">
        <f>IF(E442="","",IFERROR(VLOOKUP(E442,LISTAS!$A$2:$C$65,2,FALSE),"Revisar"))</f>
        <v/>
      </c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2">
        <f>IF(COUNTA(B442:B442)+COUNTA(D442:E442)+COUNTA(G442:AJ442)=0,"",IF(COUNTBLANK(B442:B442)+COUNTBLANK(D442:E442)+COUNTBLANK(G442:G442)+COUNTBLANK(O442:AJ442)&gt;0,"Faltan "&amp;(COUNTBLANK(B442:B442)+COUNTBLANK(D442:E442)+COUNTBLANK(G442:G442)+COUNTBLANK(O442:AJ442))&amp;" datos obligatorios",IF(NOT(ISNUMBER(B442)),"Fecha no válida",IF(N(B442)&gt;TODAY(),"Fecha futura",IF(IFERROR(VLOOKUP(E442,LISTAS!$A$2:$C$65,3,FALSE),"")&lt;&gt;D442,"La subregión no corresponde al municipio",IF(IF(L442="",FALSE,OR(L442&lt;0,L442&gt;110)),"Edad fuera de rango",IF((V442="Sí")+(W442="Sí")+(X442="Sí")+(Y442="Sí")=0,"Marque al menos un tipo de violencia","OK")))))))</f>
        <v/>
      </c>
    </row>
    <row r="443">
      <c r="A443" s="12">
        <f>IF(OR(F443="",F443="Revisar",C443=""),"",F443&amp;"-"&amp;C443&amp;"-"&amp;TEXT(COUNTIFS($F$2:F443,F443,$C$2:C443,C443),"0000"))</f>
        <v/>
      </c>
      <c r="B443" s="13" t="n"/>
      <c r="C443" s="12">
        <f>IF(ISNUMBER(B443),YEAR(B443),"")</f>
        <v/>
      </c>
      <c r="D443" s="14" t="n"/>
      <c r="E443" s="14" t="n"/>
      <c r="F443" s="12">
        <f>IF(E443="","",IFERROR(VLOOKUP(E443,LISTAS!$A$2:$C$65,2,FALSE),"Revisar"))</f>
        <v/>
      </c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2">
        <f>IF(COUNTA(B443:B443)+COUNTA(D443:E443)+COUNTA(G443:AJ443)=0,"",IF(COUNTBLANK(B443:B443)+COUNTBLANK(D443:E443)+COUNTBLANK(G443:G443)+COUNTBLANK(O443:AJ443)&gt;0,"Faltan "&amp;(COUNTBLANK(B443:B443)+COUNTBLANK(D443:E443)+COUNTBLANK(G443:G443)+COUNTBLANK(O443:AJ443))&amp;" datos obligatorios",IF(NOT(ISNUMBER(B443)),"Fecha no válida",IF(N(B443)&gt;TODAY(),"Fecha futura",IF(IFERROR(VLOOKUP(E443,LISTAS!$A$2:$C$65,3,FALSE),"")&lt;&gt;D443,"La subregión no corresponde al municipio",IF(IF(L443="",FALSE,OR(L443&lt;0,L443&gt;110)),"Edad fuera de rango",IF((V443="Sí")+(W443="Sí")+(X443="Sí")+(Y443="Sí")=0,"Marque al menos un tipo de violencia","OK")))))))</f>
        <v/>
      </c>
    </row>
    <row r="444">
      <c r="A444" s="12">
        <f>IF(OR(F444="",F444="Revisar",C444=""),"",F444&amp;"-"&amp;C444&amp;"-"&amp;TEXT(COUNTIFS($F$2:F444,F444,$C$2:C444,C444),"0000"))</f>
        <v/>
      </c>
      <c r="B444" s="13" t="n"/>
      <c r="C444" s="12">
        <f>IF(ISNUMBER(B444),YEAR(B444),"")</f>
        <v/>
      </c>
      <c r="D444" s="14" t="n"/>
      <c r="E444" s="14" t="n"/>
      <c r="F444" s="12">
        <f>IF(E444="","",IFERROR(VLOOKUP(E444,LISTAS!$A$2:$C$65,2,FALSE),"Revisar"))</f>
        <v/>
      </c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2">
        <f>IF(COUNTA(B444:B444)+COUNTA(D444:E444)+COUNTA(G444:AJ444)=0,"",IF(COUNTBLANK(B444:B444)+COUNTBLANK(D444:E444)+COUNTBLANK(G444:G444)+COUNTBLANK(O444:AJ444)&gt;0,"Faltan "&amp;(COUNTBLANK(B444:B444)+COUNTBLANK(D444:E444)+COUNTBLANK(G444:G444)+COUNTBLANK(O444:AJ444))&amp;" datos obligatorios",IF(NOT(ISNUMBER(B444)),"Fecha no válida",IF(N(B444)&gt;TODAY(),"Fecha futura",IF(IFERROR(VLOOKUP(E444,LISTAS!$A$2:$C$65,3,FALSE),"")&lt;&gt;D444,"La subregión no corresponde al municipio",IF(IF(L444="",FALSE,OR(L444&lt;0,L444&gt;110)),"Edad fuera de rango",IF((V444="Sí")+(W444="Sí")+(X444="Sí")+(Y444="Sí")=0,"Marque al menos un tipo de violencia","OK")))))))</f>
        <v/>
      </c>
    </row>
    <row r="445">
      <c r="A445" s="12">
        <f>IF(OR(F445="",F445="Revisar",C445=""),"",F445&amp;"-"&amp;C445&amp;"-"&amp;TEXT(COUNTIFS($F$2:F445,F445,$C$2:C445,C445),"0000"))</f>
        <v/>
      </c>
      <c r="B445" s="13" t="n"/>
      <c r="C445" s="12">
        <f>IF(ISNUMBER(B445),YEAR(B445),"")</f>
        <v/>
      </c>
      <c r="D445" s="14" t="n"/>
      <c r="E445" s="14" t="n"/>
      <c r="F445" s="12">
        <f>IF(E445="","",IFERROR(VLOOKUP(E445,LISTAS!$A$2:$C$65,2,FALSE),"Revisar"))</f>
        <v/>
      </c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2">
        <f>IF(COUNTA(B445:B445)+COUNTA(D445:E445)+COUNTA(G445:AJ445)=0,"",IF(COUNTBLANK(B445:B445)+COUNTBLANK(D445:E445)+COUNTBLANK(G445:G445)+COUNTBLANK(O445:AJ445)&gt;0,"Faltan "&amp;(COUNTBLANK(B445:B445)+COUNTBLANK(D445:E445)+COUNTBLANK(G445:G445)+COUNTBLANK(O445:AJ445))&amp;" datos obligatorios",IF(NOT(ISNUMBER(B445)),"Fecha no válida",IF(N(B445)&gt;TODAY(),"Fecha futura",IF(IFERROR(VLOOKUP(E445,LISTAS!$A$2:$C$65,3,FALSE),"")&lt;&gt;D445,"La subregión no corresponde al municipio",IF(IF(L445="",FALSE,OR(L445&lt;0,L445&gt;110)),"Edad fuera de rango",IF((V445="Sí")+(W445="Sí")+(X445="Sí")+(Y445="Sí")=0,"Marque al menos un tipo de violencia","OK")))))))</f>
        <v/>
      </c>
    </row>
    <row r="446">
      <c r="A446" s="12">
        <f>IF(OR(F446="",F446="Revisar",C446=""),"",F446&amp;"-"&amp;C446&amp;"-"&amp;TEXT(COUNTIFS($F$2:F446,F446,$C$2:C446,C446),"0000"))</f>
        <v/>
      </c>
      <c r="B446" s="13" t="n"/>
      <c r="C446" s="12">
        <f>IF(ISNUMBER(B446),YEAR(B446),"")</f>
        <v/>
      </c>
      <c r="D446" s="14" t="n"/>
      <c r="E446" s="14" t="n"/>
      <c r="F446" s="12">
        <f>IF(E446="","",IFERROR(VLOOKUP(E446,LISTAS!$A$2:$C$65,2,FALSE),"Revisar"))</f>
        <v/>
      </c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2">
        <f>IF(COUNTA(B446:B446)+COUNTA(D446:E446)+COUNTA(G446:AJ446)=0,"",IF(COUNTBLANK(B446:B446)+COUNTBLANK(D446:E446)+COUNTBLANK(G446:G446)+COUNTBLANK(O446:AJ446)&gt;0,"Faltan "&amp;(COUNTBLANK(B446:B446)+COUNTBLANK(D446:E446)+COUNTBLANK(G446:G446)+COUNTBLANK(O446:AJ446))&amp;" datos obligatorios",IF(NOT(ISNUMBER(B446)),"Fecha no válida",IF(N(B446)&gt;TODAY(),"Fecha futura",IF(IFERROR(VLOOKUP(E446,LISTAS!$A$2:$C$65,3,FALSE),"")&lt;&gt;D446,"La subregión no corresponde al municipio",IF(IF(L446="",FALSE,OR(L446&lt;0,L446&gt;110)),"Edad fuera de rango",IF((V446="Sí")+(W446="Sí")+(X446="Sí")+(Y446="Sí")=0,"Marque al menos un tipo de violencia","OK")))))))</f>
        <v/>
      </c>
    </row>
    <row r="447">
      <c r="A447" s="12">
        <f>IF(OR(F447="",F447="Revisar",C447=""),"",F447&amp;"-"&amp;C447&amp;"-"&amp;TEXT(COUNTIFS($F$2:F447,F447,$C$2:C447,C447),"0000"))</f>
        <v/>
      </c>
      <c r="B447" s="13" t="n"/>
      <c r="C447" s="12">
        <f>IF(ISNUMBER(B447),YEAR(B447),"")</f>
        <v/>
      </c>
      <c r="D447" s="14" t="n"/>
      <c r="E447" s="14" t="n"/>
      <c r="F447" s="12">
        <f>IF(E447="","",IFERROR(VLOOKUP(E447,LISTAS!$A$2:$C$65,2,FALSE),"Revisar"))</f>
        <v/>
      </c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2">
        <f>IF(COUNTA(B447:B447)+COUNTA(D447:E447)+COUNTA(G447:AJ447)=0,"",IF(COUNTBLANK(B447:B447)+COUNTBLANK(D447:E447)+COUNTBLANK(G447:G447)+COUNTBLANK(O447:AJ447)&gt;0,"Faltan "&amp;(COUNTBLANK(B447:B447)+COUNTBLANK(D447:E447)+COUNTBLANK(G447:G447)+COUNTBLANK(O447:AJ447))&amp;" datos obligatorios",IF(NOT(ISNUMBER(B447)),"Fecha no válida",IF(N(B447)&gt;TODAY(),"Fecha futura",IF(IFERROR(VLOOKUP(E447,LISTAS!$A$2:$C$65,3,FALSE),"")&lt;&gt;D447,"La subregión no corresponde al municipio",IF(IF(L447="",FALSE,OR(L447&lt;0,L447&gt;110)),"Edad fuera de rango",IF((V447="Sí")+(W447="Sí")+(X447="Sí")+(Y447="Sí")=0,"Marque al menos un tipo de violencia","OK")))))))</f>
        <v/>
      </c>
    </row>
    <row r="448">
      <c r="A448" s="12">
        <f>IF(OR(F448="",F448="Revisar",C448=""),"",F448&amp;"-"&amp;C448&amp;"-"&amp;TEXT(COUNTIFS($F$2:F448,F448,$C$2:C448,C448),"0000"))</f>
        <v/>
      </c>
      <c r="B448" s="13" t="n"/>
      <c r="C448" s="12">
        <f>IF(ISNUMBER(B448),YEAR(B448),"")</f>
        <v/>
      </c>
      <c r="D448" s="14" t="n"/>
      <c r="E448" s="14" t="n"/>
      <c r="F448" s="12">
        <f>IF(E448="","",IFERROR(VLOOKUP(E448,LISTAS!$A$2:$C$65,2,FALSE),"Revisar"))</f>
        <v/>
      </c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2">
        <f>IF(COUNTA(B448:B448)+COUNTA(D448:E448)+COUNTA(G448:AJ448)=0,"",IF(COUNTBLANK(B448:B448)+COUNTBLANK(D448:E448)+COUNTBLANK(G448:G448)+COUNTBLANK(O448:AJ448)&gt;0,"Faltan "&amp;(COUNTBLANK(B448:B448)+COUNTBLANK(D448:E448)+COUNTBLANK(G448:G448)+COUNTBLANK(O448:AJ448))&amp;" datos obligatorios",IF(NOT(ISNUMBER(B448)),"Fecha no válida",IF(N(B448)&gt;TODAY(),"Fecha futura",IF(IFERROR(VLOOKUP(E448,LISTAS!$A$2:$C$65,3,FALSE),"")&lt;&gt;D448,"La subregión no corresponde al municipio",IF(IF(L448="",FALSE,OR(L448&lt;0,L448&gt;110)),"Edad fuera de rango",IF((V448="Sí")+(W448="Sí")+(X448="Sí")+(Y448="Sí")=0,"Marque al menos un tipo de violencia","OK")))))))</f>
        <v/>
      </c>
    </row>
    <row r="449">
      <c r="A449" s="12">
        <f>IF(OR(F449="",F449="Revisar",C449=""),"",F449&amp;"-"&amp;C449&amp;"-"&amp;TEXT(COUNTIFS($F$2:F449,F449,$C$2:C449,C449),"0000"))</f>
        <v/>
      </c>
      <c r="B449" s="13" t="n"/>
      <c r="C449" s="12">
        <f>IF(ISNUMBER(B449),YEAR(B449),"")</f>
        <v/>
      </c>
      <c r="D449" s="14" t="n"/>
      <c r="E449" s="14" t="n"/>
      <c r="F449" s="12">
        <f>IF(E449="","",IFERROR(VLOOKUP(E449,LISTAS!$A$2:$C$65,2,FALSE),"Revisar"))</f>
        <v/>
      </c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2">
        <f>IF(COUNTA(B449:B449)+COUNTA(D449:E449)+COUNTA(G449:AJ449)=0,"",IF(COUNTBLANK(B449:B449)+COUNTBLANK(D449:E449)+COUNTBLANK(G449:G449)+COUNTBLANK(O449:AJ449)&gt;0,"Faltan "&amp;(COUNTBLANK(B449:B449)+COUNTBLANK(D449:E449)+COUNTBLANK(G449:G449)+COUNTBLANK(O449:AJ449))&amp;" datos obligatorios",IF(NOT(ISNUMBER(B449)),"Fecha no válida",IF(N(B449)&gt;TODAY(),"Fecha futura",IF(IFERROR(VLOOKUP(E449,LISTAS!$A$2:$C$65,3,FALSE),"")&lt;&gt;D449,"La subregión no corresponde al municipio",IF(IF(L449="",FALSE,OR(L449&lt;0,L449&gt;110)),"Edad fuera de rango",IF((V449="Sí")+(W449="Sí")+(X449="Sí")+(Y449="Sí")=0,"Marque al menos un tipo de violencia","OK")))))))</f>
        <v/>
      </c>
    </row>
    <row r="450">
      <c r="A450" s="12">
        <f>IF(OR(F450="",F450="Revisar",C450=""),"",F450&amp;"-"&amp;C450&amp;"-"&amp;TEXT(COUNTIFS($F$2:F450,F450,$C$2:C450,C450),"0000"))</f>
        <v/>
      </c>
      <c r="B450" s="13" t="n"/>
      <c r="C450" s="12">
        <f>IF(ISNUMBER(B450),YEAR(B450),"")</f>
        <v/>
      </c>
      <c r="D450" s="14" t="n"/>
      <c r="E450" s="14" t="n"/>
      <c r="F450" s="12">
        <f>IF(E450="","",IFERROR(VLOOKUP(E450,LISTAS!$A$2:$C$65,2,FALSE),"Revisar"))</f>
        <v/>
      </c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2">
        <f>IF(COUNTA(B450:B450)+COUNTA(D450:E450)+COUNTA(G450:AJ450)=0,"",IF(COUNTBLANK(B450:B450)+COUNTBLANK(D450:E450)+COUNTBLANK(G450:G450)+COUNTBLANK(O450:AJ450)&gt;0,"Faltan "&amp;(COUNTBLANK(B450:B450)+COUNTBLANK(D450:E450)+COUNTBLANK(G450:G450)+COUNTBLANK(O450:AJ450))&amp;" datos obligatorios",IF(NOT(ISNUMBER(B450)),"Fecha no válida",IF(N(B450)&gt;TODAY(),"Fecha futura",IF(IFERROR(VLOOKUP(E450,LISTAS!$A$2:$C$65,3,FALSE),"")&lt;&gt;D450,"La subregión no corresponde al municipio",IF(IF(L450="",FALSE,OR(L450&lt;0,L450&gt;110)),"Edad fuera de rango",IF((V450="Sí")+(W450="Sí")+(X450="Sí")+(Y450="Sí")=0,"Marque al menos un tipo de violencia","OK")))))))</f>
        <v/>
      </c>
    </row>
    <row r="451">
      <c r="A451" s="12">
        <f>IF(OR(F451="",F451="Revisar",C451=""),"",F451&amp;"-"&amp;C451&amp;"-"&amp;TEXT(COUNTIFS($F$2:F451,F451,$C$2:C451,C451),"0000"))</f>
        <v/>
      </c>
      <c r="B451" s="13" t="n"/>
      <c r="C451" s="12">
        <f>IF(ISNUMBER(B451),YEAR(B451),"")</f>
        <v/>
      </c>
      <c r="D451" s="14" t="n"/>
      <c r="E451" s="14" t="n"/>
      <c r="F451" s="12">
        <f>IF(E451="","",IFERROR(VLOOKUP(E451,LISTAS!$A$2:$C$65,2,FALSE),"Revisar"))</f>
        <v/>
      </c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2">
        <f>IF(COUNTA(B451:B451)+COUNTA(D451:E451)+COUNTA(G451:AJ451)=0,"",IF(COUNTBLANK(B451:B451)+COUNTBLANK(D451:E451)+COUNTBLANK(G451:G451)+COUNTBLANK(O451:AJ451)&gt;0,"Faltan "&amp;(COUNTBLANK(B451:B451)+COUNTBLANK(D451:E451)+COUNTBLANK(G451:G451)+COUNTBLANK(O451:AJ451))&amp;" datos obligatorios",IF(NOT(ISNUMBER(B451)),"Fecha no válida",IF(N(B451)&gt;TODAY(),"Fecha futura",IF(IFERROR(VLOOKUP(E451,LISTAS!$A$2:$C$65,3,FALSE),"")&lt;&gt;D451,"La subregión no corresponde al municipio",IF(IF(L451="",FALSE,OR(L451&lt;0,L451&gt;110)),"Edad fuera de rango",IF((V451="Sí")+(W451="Sí")+(X451="Sí")+(Y451="Sí")=0,"Marque al menos un tipo de violencia","OK")))))))</f>
        <v/>
      </c>
    </row>
    <row r="452">
      <c r="A452" s="12">
        <f>IF(OR(F452="",F452="Revisar",C452=""),"",F452&amp;"-"&amp;C452&amp;"-"&amp;TEXT(COUNTIFS($F$2:F452,F452,$C$2:C452,C452),"0000"))</f>
        <v/>
      </c>
      <c r="B452" s="13" t="n"/>
      <c r="C452" s="12">
        <f>IF(ISNUMBER(B452),YEAR(B452),"")</f>
        <v/>
      </c>
      <c r="D452" s="14" t="n"/>
      <c r="E452" s="14" t="n"/>
      <c r="F452" s="12">
        <f>IF(E452="","",IFERROR(VLOOKUP(E452,LISTAS!$A$2:$C$65,2,FALSE),"Revisar"))</f>
        <v/>
      </c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2">
        <f>IF(COUNTA(B452:B452)+COUNTA(D452:E452)+COUNTA(G452:AJ452)=0,"",IF(COUNTBLANK(B452:B452)+COUNTBLANK(D452:E452)+COUNTBLANK(G452:G452)+COUNTBLANK(O452:AJ452)&gt;0,"Faltan "&amp;(COUNTBLANK(B452:B452)+COUNTBLANK(D452:E452)+COUNTBLANK(G452:G452)+COUNTBLANK(O452:AJ452))&amp;" datos obligatorios",IF(NOT(ISNUMBER(B452)),"Fecha no válida",IF(N(B452)&gt;TODAY(),"Fecha futura",IF(IFERROR(VLOOKUP(E452,LISTAS!$A$2:$C$65,3,FALSE),"")&lt;&gt;D452,"La subregión no corresponde al municipio",IF(IF(L452="",FALSE,OR(L452&lt;0,L452&gt;110)),"Edad fuera de rango",IF((V452="Sí")+(W452="Sí")+(X452="Sí")+(Y452="Sí")=0,"Marque al menos un tipo de violencia","OK")))))))</f>
        <v/>
      </c>
    </row>
    <row r="453">
      <c r="A453" s="12">
        <f>IF(OR(F453="",F453="Revisar",C453=""),"",F453&amp;"-"&amp;C453&amp;"-"&amp;TEXT(COUNTIFS($F$2:F453,F453,$C$2:C453,C453),"0000"))</f>
        <v/>
      </c>
      <c r="B453" s="13" t="n"/>
      <c r="C453" s="12">
        <f>IF(ISNUMBER(B453),YEAR(B453),"")</f>
        <v/>
      </c>
      <c r="D453" s="14" t="n"/>
      <c r="E453" s="14" t="n"/>
      <c r="F453" s="12">
        <f>IF(E453="","",IFERROR(VLOOKUP(E453,LISTAS!$A$2:$C$65,2,FALSE),"Revisar"))</f>
        <v/>
      </c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2">
        <f>IF(COUNTA(B453:B453)+COUNTA(D453:E453)+COUNTA(G453:AJ453)=0,"",IF(COUNTBLANK(B453:B453)+COUNTBLANK(D453:E453)+COUNTBLANK(G453:G453)+COUNTBLANK(O453:AJ453)&gt;0,"Faltan "&amp;(COUNTBLANK(B453:B453)+COUNTBLANK(D453:E453)+COUNTBLANK(G453:G453)+COUNTBLANK(O453:AJ453))&amp;" datos obligatorios",IF(NOT(ISNUMBER(B453)),"Fecha no válida",IF(N(B453)&gt;TODAY(),"Fecha futura",IF(IFERROR(VLOOKUP(E453,LISTAS!$A$2:$C$65,3,FALSE),"")&lt;&gt;D453,"La subregión no corresponde al municipio",IF(IF(L453="",FALSE,OR(L453&lt;0,L453&gt;110)),"Edad fuera de rango",IF((V453="Sí")+(W453="Sí")+(X453="Sí")+(Y453="Sí")=0,"Marque al menos un tipo de violencia","OK")))))))</f>
        <v/>
      </c>
    </row>
    <row r="454">
      <c r="A454" s="12">
        <f>IF(OR(F454="",F454="Revisar",C454=""),"",F454&amp;"-"&amp;C454&amp;"-"&amp;TEXT(COUNTIFS($F$2:F454,F454,$C$2:C454,C454),"0000"))</f>
        <v/>
      </c>
      <c r="B454" s="13" t="n"/>
      <c r="C454" s="12">
        <f>IF(ISNUMBER(B454),YEAR(B454),"")</f>
        <v/>
      </c>
      <c r="D454" s="14" t="n"/>
      <c r="E454" s="14" t="n"/>
      <c r="F454" s="12">
        <f>IF(E454="","",IFERROR(VLOOKUP(E454,LISTAS!$A$2:$C$65,2,FALSE),"Revisar"))</f>
        <v/>
      </c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2">
        <f>IF(COUNTA(B454:B454)+COUNTA(D454:E454)+COUNTA(G454:AJ454)=0,"",IF(COUNTBLANK(B454:B454)+COUNTBLANK(D454:E454)+COUNTBLANK(G454:G454)+COUNTBLANK(O454:AJ454)&gt;0,"Faltan "&amp;(COUNTBLANK(B454:B454)+COUNTBLANK(D454:E454)+COUNTBLANK(G454:G454)+COUNTBLANK(O454:AJ454))&amp;" datos obligatorios",IF(NOT(ISNUMBER(B454)),"Fecha no válida",IF(N(B454)&gt;TODAY(),"Fecha futura",IF(IFERROR(VLOOKUP(E454,LISTAS!$A$2:$C$65,3,FALSE),"")&lt;&gt;D454,"La subregión no corresponde al municipio",IF(IF(L454="",FALSE,OR(L454&lt;0,L454&gt;110)),"Edad fuera de rango",IF((V454="Sí")+(W454="Sí")+(X454="Sí")+(Y454="Sí")=0,"Marque al menos un tipo de violencia","OK")))))))</f>
        <v/>
      </c>
    </row>
    <row r="455">
      <c r="A455" s="12">
        <f>IF(OR(F455="",F455="Revisar",C455=""),"",F455&amp;"-"&amp;C455&amp;"-"&amp;TEXT(COUNTIFS($F$2:F455,F455,$C$2:C455,C455),"0000"))</f>
        <v/>
      </c>
      <c r="B455" s="13" t="n"/>
      <c r="C455" s="12">
        <f>IF(ISNUMBER(B455),YEAR(B455),"")</f>
        <v/>
      </c>
      <c r="D455" s="14" t="n"/>
      <c r="E455" s="14" t="n"/>
      <c r="F455" s="12">
        <f>IF(E455="","",IFERROR(VLOOKUP(E455,LISTAS!$A$2:$C$65,2,FALSE),"Revisar"))</f>
        <v/>
      </c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2">
        <f>IF(COUNTA(B455:B455)+COUNTA(D455:E455)+COUNTA(G455:AJ455)=0,"",IF(COUNTBLANK(B455:B455)+COUNTBLANK(D455:E455)+COUNTBLANK(G455:G455)+COUNTBLANK(O455:AJ455)&gt;0,"Faltan "&amp;(COUNTBLANK(B455:B455)+COUNTBLANK(D455:E455)+COUNTBLANK(G455:G455)+COUNTBLANK(O455:AJ455))&amp;" datos obligatorios",IF(NOT(ISNUMBER(B455)),"Fecha no válida",IF(N(B455)&gt;TODAY(),"Fecha futura",IF(IFERROR(VLOOKUP(E455,LISTAS!$A$2:$C$65,3,FALSE),"")&lt;&gt;D455,"La subregión no corresponde al municipio",IF(IF(L455="",FALSE,OR(L455&lt;0,L455&gt;110)),"Edad fuera de rango",IF((V455="Sí")+(W455="Sí")+(X455="Sí")+(Y455="Sí")=0,"Marque al menos un tipo de violencia","OK")))))))</f>
        <v/>
      </c>
    </row>
    <row r="456">
      <c r="A456" s="12">
        <f>IF(OR(F456="",F456="Revisar",C456=""),"",F456&amp;"-"&amp;C456&amp;"-"&amp;TEXT(COUNTIFS($F$2:F456,F456,$C$2:C456,C456),"0000"))</f>
        <v/>
      </c>
      <c r="B456" s="13" t="n"/>
      <c r="C456" s="12">
        <f>IF(ISNUMBER(B456),YEAR(B456),"")</f>
        <v/>
      </c>
      <c r="D456" s="14" t="n"/>
      <c r="E456" s="14" t="n"/>
      <c r="F456" s="12">
        <f>IF(E456="","",IFERROR(VLOOKUP(E456,LISTAS!$A$2:$C$65,2,FALSE),"Revisar"))</f>
        <v/>
      </c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2">
        <f>IF(COUNTA(B456:B456)+COUNTA(D456:E456)+COUNTA(G456:AJ456)=0,"",IF(COUNTBLANK(B456:B456)+COUNTBLANK(D456:E456)+COUNTBLANK(G456:G456)+COUNTBLANK(O456:AJ456)&gt;0,"Faltan "&amp;(COUNTBLANK(B456:B456)+COUNTBLANK(D456:E456)+COUNTBLANK(G456:G456)+COUNTBLANK(O456:AJ456))&amp;" datos obligatorios",IF(NOT(ISNUMBER(B456)),"Fecha no válida",IF(N(B456)&gt;TODAY(),"Fecha futura",IF(IFERROR(VLOOKUP(E456,LISTAS!$A$2:$C$65,3,FALSE),"")&lt;&gt;D456,"La subregión no corresponde al municipio",IF(IF(L456="",FALSE,OR(L456&lt;0,L456&gt;110)),"Edad fuera de rango",IF((V456="Sí")+(W456="Sí")+(X456="Sí")+(Y456="Sí")=0,"Marque al menos un tipo de violencia","OK")))))))</f>
        <v/>
      </c>
    </row>
    <row r="457">
      <c r="A457" s="12">
        <f>IF(OR(F457="",F457="Revisar",C457=""),"",F457&amp;"-"&amp;C457&amp;"-"&amp;TEXT(COUNTIFS($F$2:F457,F457,$C$2:C457,C457),"0000"))</f>
        <v/>
      </c>
      <c r="B457" s="13" t="n"/>
      <c r="C457" s="12">
        <f>IF(ISNUMBER(B457),YEAR(B457),"")</f>
        <v/>
      </c>
      <c r="D457" s="14" t="n"/>
      <c r="E457" s="14" t="n"/>
      <c r="F457" s="12">
        <f>IF(E457="","",IFERROR(VLOOKUP(E457,LISTAS!$A$2:$C$65,2,FALSE),"Revisar"))</f>
        <v/>
      </c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2">
        <f>IF(COUNTA(B457:B457)+COUNTA(D457:E457)+COUNTA(G457:AJ457)=0,"",IF(COUNTBLANK(B457:B457)+COUNTBLANK(D457:E457)+COUNTBLANK(G457:G457)+COUNTBLANK(O457:AJ457)&gt;0,"Faltan "&amp;(COUNTBLANK(B457:B457)+COUNTBLANK(D457:E457)+COUNTBLANK(G457:G457)+COUNTBLANK(O457:AJ457))&amp;" datos obligatorios",IF(NOT(ISNUMBER(B457)),"Fecha no válida",IF(N(B457)&gt;TODAY(),"Fecha futura",IF(IFERROR(VLOOKUP(E457,LISTAS!$A$2:$C$65,3,FALSE),"")&lt;&gt;D457,"La subregión no corresponde al municipio",IF(IF(L457="",FALSE,OR(L457&lt;0,L457&gt;110)),"Edad fuera de rango",IF((V457="Sí")+(W457="Sí")+(X457="Sí")+(Y457="Sí")=0,"Marque al menos un tipo de violencia","OK")))))))</f>
        <v/>
      </c>
    </row>
    <row r="458">
      <c r="A458" s="12">
        <f>IF(OR(F458="",F458="Revisar",C458=""),"",F458&amp;"-"&amp;C458&amp;"-"&amp;TEXT(COUNTIFS($F$2:F458,F458,$C$2:C458,C458),"0000"))</f>
        <v/>
      </c>
      <c r="B458" s="13" t="n"/>
      <c r="C458" s="12">
        <f>IF(ISNUMBER(B458),YEAR(B458),"")</f>
        <v/>
      </c>
      <c r="D458" s="14" t="n"/>
      <c r="E458" s="14" t="n"/>
      <c r="F458" s="12">
        <f>IF(E458="","",IFERROR(VLOOKUP(E458,LISTAS!$A$2:$C$65,2,FALSE),"Revisar"))</f>
        <v/>
      </c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2">
        <f>IF(COUNTA(B458:B458)+COUNTA(D458:E458)+COUNTA(G458:AJ458)=0,"",IF(COUNTBLANK(B458:B458)+COUNTBLANK(D458:E458)+COUNTBLANK(G458:G458)+COUNTBLANK(O458:AJ458)&gt;0,"Faltan "&amp;(COUNTBLANK(B458:B458)+COUNTBLANK(D458:E458)+COUNTBLANK(G458:G458)+COUNTBLANK(O458:AJ458))&amp;" datos obligatorios",IF(NOT(ISNUMBER(B458)),"Fecha no válida",IF(N(B458)&gt;TODAY(),"Fecha futura",IF(IFERROR(VLOOKUP(E458,LISTAS!$A$2:$C$65,3,FALSE),"")&lt;&gt;D458,"La subregión no corresponde al municipio",IF(IF(L458="",FALSE,OR(L458&lt;0,L458&gt;110)),"Edad fuera de rango",IF((V458="Sí")+(W458="Sí")+(X458="Sí")+(Y458="Sí")=0,"Marque al menos un tipo de violencia","OK")))))))</f>
        <v/>
      </c>
    </row>
    <row r="459">
      <c r="A459" s="12">
        <f>IF(OR(F459="",F459="Revisar",C459=""),"",F459&amp;"-"&amp;C459&amp;"-"&amp;TEXT(COUNTIFS($F$2:F459,F459,$C$2:C459,C459),"0000"))</f>
        <v/>
      </c>
      <c r="B459" s="13" t="n"/>
      <c r="C459" s="12">
        <f>IF(ISNUMBER(B459),YEAR(B459),"")</f>
        <v/>
      </c>
      <c r="D459" s="14" t="n"/>
      <c r="E459" s="14" t="n"/>
      <c r="F459" s="12">
        <f>IF(E459="","",IFERROR(VLOOKUP(E459,LISTAS!$A$2:$C$65,2,FALSE),"Revisar"))</f>
        <v/>
      </c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2">
        <f>IF(COUNTA(B459:B459)+COUNTA(D459:E459)+COUNTA(G459:AJ459)=0,"",IF(COUNTBLANK(B459:B459)+COUNTBLANK(D459:E459)+COUNTBLANK(G459:G459)+COUNTBLANK(O459:AJ459)&gt;0,"Faltan "&amp;(COUNTBLANK(B459:B459)+COUNTBLANK(D459:E459)+COUNTBLANK(G459:G459)+COUNTBLANK(O459:AJ459))&amp;" datos obligatorios",IF(NOT(ISNUMBER(B459)),"Fecha no válida",IF(N(B459)&gt;TODAY(),"Fecha futura",IF(IFERROR(VLOOKUP(E459,LISTAS!$A$2:$C$65,3,FALSE),"")&lt;&gt;D459,"La subregión no corresponde al municipio",IF(IF(L459="",FALSE,OR(L459&lt;0,L459&gt;110)),"Edad fuera de rango",IF((V459="Sí")+(W459="Sí")+(X459="Sí")+(Y459="Sí")=0,"Marque al menos un tipo de violencia","OK")))))))</f>
        <v/>
      </c>
    </row>
    <row r="460">
      <c r="A460" s="12">
        <f>IF(OR(F460="",F460="Revisar",C460=""),"",F460&amp;"-"&amp;C460&amp;"-"&amp;TEXT(COUNTIFS($F$2:F460,F460,$C$2:C460,C460),"0000"))</f>
        <v/>
      </c>
      <c r="B460" s="13" t="n"/>
      <c r="C460" s="12">
        <f>IF(ISNUMBER(B460),YEAR(B460),"")</f>
        <v/>
      </c>
      <c r="D460" s="14" t="n"/>
      <c r="E460" s="14" t="n"/>
      <c r="F460" s="12">
        <f>IF(E460="","",IFERROR(VLOOKUP(E460,LISTAS!$A$2:$C$65,2,FALSE),"Revisar"))</f>
        <v/>
      </c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2">
        <f>IF(COUNTA(B460:B460)+COUNTA(D460:E460)+COUNTA(G460:AJ460)=0,"",IF(COUNTBLANK(B460:B460)+COUNTBLANK(D460:E460)+COUNTBLANK(G460:G460)+COUNTBLANK(O460:AJ460)&gt;0,"Faltan "&amp;(COUNTBLANK(B460:B460)+COUNTBLANK(D460:E460)+COUNTBLANK(G460:G460)+COUNTBLANK(O460:AJ460))&amp;" datos obligatorios",IF(NOT(ISNUMBER(B460)),"Fecha no válida",IF(N(B460)&gt;TODAY(),"Fecha futura",IF(IFERROR(VLOOKUP(E460,LISTAS!$A$2:$C$65,3,FALSE),"")&lt;&gt;D460,"La subregión no corresponde al municipio",IF(IF(L460="",FALSE,OR(L460&lt;0,L460&gt;110)),"Edad fuera de rango",IF((V460="Sí")+(W460="Sí")+(X460="Sí")+(Y460="Sí")=0,"Marque al menos un tipo de violencia","OK")))))))</f>
        <v/>
      </c>
    </row>
    <row r="461">
      <c r="A461" s="12">
        <f>IF(OR(F461="",F461="Revisar",C461=""),"",F461&amp;"-"&amp;C461&amp;"-"&amp;TEXT(COUNTIFS($F$2:F461,F461,$C$2:C461,C461),"0000"))</f>
        <v/>
      </c>
      <c r="B461" s="13" t="n"/>
      <c r="C461" s="12">
        <f>IF(ISNUMBER(B461),YEAR(B461),"")</f>
        <v/>
      </c>
      <c r="D461" s="14" t="n"/>
      <c r="E461" s="14" t="n"/>
      <c r="F461" s="12">
        <f>IF(E461="","",IFERROR(VLOOKUP(E461,LISTAS!$A$2:$C$65,2,FALSE),"Revisar"))</f>
        <v/>
      </c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2">
        <f>IF(COUNTA(B461:B461)+COUNTA(D461:E461)+COUNTA(G461:AJ461)=0,"",IF(COUNTBLANK(B461:B461)+COUNTBLANK(D461:E461)+COUNTBLANK(G461:G461)+COUNTBLANK(O461:AJ461)&gt;0,"Faltan "&amp;(COUNTBLANK(B461:B461)+COUNTBLANK(D461:E461)+COUNTBLANK(G461:G461)+COUNTBLANK(O461:AJ461))&amp;" datos obligatorios",IF(NOT(ISNUMBER(B461)),"Fecha no válida",IF(N(B461)&gt;TODAY(),"Fecha futura",IF(IFERROR(VLOOKUP(E461,LISTAS!$A$2:$C$65,3,FALSE),"")&lt;&gt;D461,"La subregión no corresponde al municipio",IF(IF(L461="",FALSE,OR(L461&lt;0,L461&gt;110)),"Edad fuera de rango",IF((V461="Sí")+(W461="Sí")+(X461="Sí")+(Y461="Sí")=0,"Marque al menos un tipo de violencia","OK")))))))</f>
        <v/>
      </c>
    </row>
    <row r="462">
      <c r="A462" s="12">
        <f>IF(OR(F462="",F462="Revisar",C462=""),"",F462&amp;"-"&amp;C462&amp;"-"&amp;TEXT(COUNTIFS($F$2:F462,F462,$C$2:C462,C462),"0000"))</f>
        <v/>
      </c>
      <c r="B462" s="13" t="n"/>
      <c r="C462" s="12">
        <f>IF(ISNUMBER(B462),YEAR(B462),"")</f>
        <v/>
      </c>
      <c r="D462" s="14" t="n"/>
      <c r="E462" s="14" t="n"/>
      <c r="F462" s="12">
        <f>IF(E462="","",IFERROR(VLOOKUP(E462,LISTAS!$A$2:$C$65,2,FALSE),"Revisar"))</f>
        <v/>
      </c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2">
        <f>IF(COUNTA(B462:B462)+COUNTA(D462:E462)+COUNTA(G462:AJ462)=0,"",IF(COUNTBLANK(B462:B462)+COUNTBLANK(D462:E462)+COUNTBLANK(G462:G462)+COUNTBLANK(O462:AJ462)&gt;0,"Faltan "&amp;(COUNTBLANK(B462:B462)+COUNTBLANK(D462:E462)+COUNTBLANK(G462:G462)+COUNTBLANK(O462:AJ462))&amp;" datos obligatorios",IF(NOT(ISNUMBER(B462)),"Fecha no válida",IF(N(B462)&gt;TODAY(),"Fecha futura",IF(IFERROR(VLOOKUP(E462,LISTAS!$A$2:$C$65,3,FALSE),"")&lt;&gt;D462,"La subregión no corresponde al municipio",IF(IF(L462="",FALSE,OR(L462&lt;0,L462&gt;110)),"Edad fuera de rango",IF((V462="Sí")+(W462="Sí")+(X462="Sí")+(Y462="Sí")=0,"Marque al menos un tipo de violencia","OK")))))))</f>
        <v/>
      </c>
    </row>
    <row r="463">
      <c r="A463" s="12">
        <f>IF(OR(F463="",F463="Revisar",C463=""),"",F463&amp;"-"&amp;C463&amp;"-"&amp;TEXT(COUNTIFS($F$2:F463,F463,$C$2:C463,C463),"0000"))</f>
        <v/>
      </c>
      <c r="B463" s="13" t="n"/>
      <c r="C463" s="12">
        <f>IF(ISNUMBER(B463),YEAR(B463),"")</f>
        <v/>
      </c>
      <c r="D463" s="14" t="n"/>
      <c r="E463" s="14" t="n"/>
      <c r="F463" s="12">
        <f>IF(E463="","",IFERROR(VLOOKUP(E463,LISTAS!$A$2:$C$65,2,FALSE),"Revisar"))</f>
        <v/>
      </c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2">
        <f>IF(COUNTA(B463:B463)+COUNTA(D463:E463)+COUNTA(G463:AJ463)=0,"",IF(COUNTBLANK(B463:B463)+COUNTBLANK(D463:E463)+COUNTBLANK(G463:G463)+COUNTBLANK(O463:AJ463)&gt;0,"Faltan "&amp;(COUNTBLANK(B463:B463)+COUNTBLANK(D463:E463)+COUNTBLANK(G463:G463)+COUNTBLANK(O463:AJ463))&amp;" datos obligatorios",IF(NOT(ISNUMBER(B463)),"Fecha no válida",IF(N(B463)&gt;TODAY(),"Fecha futura",IF(IFERROR(VLOOKUP(E463,LISTAS!$A$2:$C$65,3,FALSE),"")&lt;&gt;D463,"La subregión no corresponde al municipio",IF(IF(L463="",FALSE,OR(L463&lt;0,L463&gt;110)),"Edad fuera de rango",IF((V463="Sí")+(W463="Sí")+(X463="Sí")+(Y463="Sí")=0,"Marque al menos un tipo de violencia","OK")))))))</f>
        <v/>
      </c>
    </row>
    <row r="464">
      <c r="A464" s="12">
        <f>IF(OR(F464="",F464="Revisar",C464=""),"",F464&amp;"-"&amp;C464&amp;"-"&amp;TEXT(COUNTIFS($F$2:F464,F464,$C$2:C464,C464),"0000"))</f>
        <v/>
      </c>
      <c r="B464" s="13" t="n"/>
      <c r="C464" s="12">
        <f>IF(ISNUMBER(B464),YEAR(B464),"")</f>
        <v/>
      </c>
      <c r="D464" s="14" t="n"/>
      <c r="E464" s="14" t="n"/>
      <c r="F464" s="12">
        <f>IF(E464="","",IFERROR(VLOOKUP(E464,LISTAS!$A$2:$C$65,2,FALSE),"Revisar"))</f>
        <v/>
      </c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2">
        <f>IF(COUNTA(B464:B464)+COUNTA(D464:E464)+COUNTA(G464:AJ464)=0,"",IF(COUNTBLANK(B464:B464)+COUNTBLANK(D464:E464)+COUNTBLANK(G464:G464)+COUNTBLANK(O464:AJ464)&gt;0,"Faltan "&amp;(COUNTBLANK(B464:B464)+COUNTBLANK(D464:E464)+COUNTBLANK(G464:G464)+COUNTBLANK(O464:AJ464))&amp;" datos obligatorios",IF(NOT(ISNUMBER(B464)),"Fecha no válida",IF(N(B464)&gt;TODAY(),"Fecha futura",IF(IFERROR(VLOOKUP(E464,LISTAS!$A$2:$C$65,3,FALSE),"")&lt;&gt;D464,"La subregión no corresponde al municipio",IF(IF(L464="",FALSE,OR(L464&lt;0,L464&gt;110)),"Edad fuera de rango",IF((V464="Sí")+(W464="Sí")+(X464="Sí")+(Y464="Sí")=0,"Marque al menos un tipo de violencia","OK")))))))</f>
        <v/>
      </c>
    </row>
    <row r="465">
      <c r="A465" s="12">
        <f>IF(OR(F465="",F465="Revisar",C465=""),"",F465&amp;"-"&amp;C465&amp;"-"&amp;TEXT(COUNTIFS($F$2:F465,F465,$C$2:C465,C465),"0000"))</f>
        <v/>
      </c>
      <c r="B465" s="13" t="n"/>
      <c r="C465" s="12">
        <f>IF(ISNUMBER(B465),YEAR(B465),"")</f>
        <v/>
      </c>
      <c r="D465" s="14" t="n"/>
      <c r="E465" s="14" t="n"/>
      <c r="F465" s="12">
        <f>IF(E465="","",IFERROR(VLOOKUP(E465,LISTAS!$A$2:$C$65,2,FALSE),"Revisar"))</f>
        <v/>
      </c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2">
        <f>IF(COUNTA(B465:B465)+COUNTA(D465:E465)+COUNTA(G465:AJ465)=0,"",IF(COUNTBLANK(B465:B465)+COUNTBLANK(D465:E465)+COUNTBLANK(G465:G465)+COUNTBLANK(O465:AJ465)&gt;0,"Faltan "&amp;(COUNTBLANK(B465:B465)+COUNTBLANK(D465:E465)+COUNTBLANK(G465:G465)+COUNTBLANK(O465:AJ465))&amp;" datos obligatorios",IF(NOT(ISNUMBER(B465)),"Fecha no válida",IF(N(B465)&gt;TODAY(),"Fecha futura",IF(IFERROR(VLOOKUP(E465,LISTAS!$A$2:$C$65,3,FALSE),"")&lt;&gt;D465,"La subregión no corresponde al municipio",IF(IF(L465="",FALSE,OR(L465&lt;0,L465&gt;110)),"Edad fuera de rango",IF((V465="Sí")+(W465="Sí")+(X465="Sí")+(Y465="Sí")=0,"Marque al menos un tipo de violencia","OK")))))))</f>
        <v/>
      </c>
    </row>
    <row r="466">
      <c r="A466" s="12">
        <f>IF(OR(F466="",F466="Revisar",C466=""),"",F466&amp;"-"&amp;C466&amp;"-"&amp;TEXT(COUNTIFS($F$2:F466,F466,$C$2:C466,C466),"0000"))</f>
        <v/>
      </c>
      <c r="B466" s="13" t="n"/>
      <c r="C466" s="12">
        <f>IF(ISNUMBER(B466),YEAR(B466),"")</f>
        <v/>
      </c>
      <c r="D466" s="14" t="n"/>
      <c r="E466" s="14" t="n"/>
      <c r="F466" s="12">
        <f>IF(E466="","",IFERROR(VLOOKUP(E466,LISTAS!$A$2:$C$65,2,FALSE),"Revisar"))</f>
        <v/>
      </c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2">
        <f>IF(COUNTA(B466:B466)+COUNTA(D466:E466)+COUNTA(G466:AJ466)=0,"",IF(COUNTBLANK(B466:B466)+COUNTBLANK(D466:E466)+COUNTBLANK(G466:G466)+COUNTBLANK(O466:AJ466)&gt;0,"Faltan "&amp;(COUNTBLANK(B466:B466)+COUNTBLANK(D466:E466)+COUNTBLANK(G466:G466)+COUNTBLANK(O466:AJ466))&amp;" datos obligatorios",IF(NOT(ISNUMBER(B466)),"Fecha no válida",IF(N(B466)&gt;TODAY(),"Fecha futura",IF(IFERROR(VLOOKUP(E466,LISTAS!$A$2:$C$65,3,FALSE),"")&lt;&gt;D466,"La subregión no corresponde al municipio",IF(IF(L466="",FALSE,OR(L466&lt;0,L466&gt;110)),"Edad fuera de rango",IF((V466="Sí")+(W466="Sí")+(X466="Sí")+(Y466="Sí")=0,"Marque al menos un tipo de violencia","OK")))))))</f>
        <v/>
      </c>
    </row>
    <row r="467">
      <c r="A467" s="12">
        <f>IF(OR(F467="",F467="Revisar",C467=""),"",F467&amp;"-"&amp;C467&amp;"-"&amp;TEXT(COUNTIFS($F$2:F467,F467,$C$2:C467,C467),"0000"))</f>
        <v/>
      </c>
      <c r="B467" s="13" t="n"/>
      <c r="C467" s="12">
        <f>IF(ISNUMBER(B467),YEAR(B467),"")</f>
        <v/>
      </c>
      <c r="D467" s="14" t="n"/>
      <c r="E467" s="14" t="n"/>
      <c r="F467" s="12">
        <f>IF(E467="","",IFERROR(VLOOKUP(E467,LISTAS!$A$2:$C$65,2,FALSE),"Revisar"))</f>
        <v/>
      </c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2">
        <f>IF(COUNTA(B467:B467)+COUNTA(D467:E467)+COUNTA(G467:AJ467)=0,"",IF(COUNTBLANK(B467:B467)+COUNTBLANK(D467:E467)+COUNTBLANK(G467:G467)+COUNTBLANK(O467:AJ467)&gt;0,"Faltan "&amp;(COUNTBLANK(B467:B467)+COUNTBLANK(D467:E467)+COUNTBLANK(G467:G467)+COUNTBLANK(O467:AJ467))&amp;" datos obligatorios",IF(NOT(ISNUMBER(B467)),"Fecha no válida",IF(N(B467)&gt;TODAY(),"Fecha futura",IF(IFERROR(VLOOKUP(E467,LISTAS!$A$2:$C$65,3,FALSE),"")&lt;&gt;D467,"La subregión no corresponde al municipio",IF(IF(L467="",FALSE,OR(L467&lt;0,L467&gt;110)),"Edad fuera de rango",IF((V467="Sí")+(W467="Sí")+(X467="Sí")+(Y467="Sí")=0,"Marque al menos un tipo de violencia","OK")))))))</f>
        <v/>
      </c>
    </row>
    <row r="468">
      <c r="A468" s="12">
        <f>IF(OR(F468="",F468="Revisar",C468=""),"",F468&amp;"-"&amp;C468&amp;"-"&amp;TEXT(COUNTIFS($F$2:F468,F468,$C$2:C468,C468),"0000"))</f>
        <v/>
      </c>
      <c r="B468" s="13" t="n"/>
      <c r="C468" s="12">
        <f>IF(ISNUMBER(B468),YEAR(B468),"")</f>
        <v/>
      </c>
      <c r="D468" s="14" t="n"/>
      <c r="E468" s="14" t="n"/>
      <c r="F468" s="12">
        <f>IF(E468="","",IFERROR(VLOOKUP(E468,LISTAS!$A$2:$C$65,2,FALSE),"Revisar"))</f>
        <v/>
      </c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2">
        <f>IF(COUNTA(B468:B468)+COUNTA(D468:E468)+COUNTA(G468:AJ468)=0,"",IF(COUNTBLANK(B468:B468)+COUNTBLANK(D468:E468)+COUNTBLANK(G468:G468)+COUNTBLANK(O468:AJ468)&gt;0,"Faltan "&amp;(COUNTBLANK(B468:B468)+COUNTBLANK(D468:E468)+COUNTBLANK(G468:G468)+COUNTBLANK(O468:AJ468))&amp;" datos obligatorios",IF(NOT(ISNUMBER(B468)),"Fecha no válida",IF(N(B468)&gt;TODAY(),"Fecha futura",IF(IFERROR(VLOOKUP(E468,LISTAS!$A$2:$C$65,3,FALSE),"")&lt;&gt;D468,"La subregión no corresponde al municipio",IF(IF(L468="",FALSE,OR(L468&lt;0,L468&gt;110)),"Edad fuera de rango",IF((V468="Sí")+(W468="Sí")+(X468="Sí")+(Y468="Sí")=0,"Marque al menos un tipo de violencia","OK")))))))</f>
        <v/>
      </c>
    </row>
    <row r="469">
      <c r="A469" s="12">
        <f>IF(OR(F469="",F469="Revisar",C469=""),"",F469&amp;"-"&amp;C469&amp;"-"&amp;TEXT(COUNTIFS($F$2:F469,F469,$C$2:C469,C469),"0000"))</f>
        <v/>
      </c>
      <c r="B469" s="13" t="n"/>
      <c r="C469" s="12">
        <f>IF(ISNUMBER(B469),YEAR(B469),"")</f>
        <v/>
      </c>
      <c r="D469" s="14" t="n"/>
      <c r="E469" s="14" t="n"/>
      <c r="F469" s="12">
        <f>IF(E469="","",IFERROR(VLOOKUP(E469,LISTAS!$A$2:$C$65,2,FALSE),"Revisar"))</f>
        <v/>
      </c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2">
        <f>IF(COUNTA(B469:B469)+COUNTA(D469:E469)+COUNTA(G469:AJ469)=0,"",IF(COUNTBLANK(B469:B469)+COUNTBLANK(D469:E469)+COUNTBLANK(G469:G469)+COUNTBLANK(O469:AJ469)&gt;0,"Faltan "&amp;(COUNTBLANK(B469:B469)+COUNTBLANK(D469:E469)+COUNTBLANK(G469:G469)+COUNTBLANK(O469:AJ469))&amp;" datos obligatorios",IF(NOT(ISNUMBER(B469)),"Fecha no válida",IF(N(B469)&gt;TODAY(),"Fecha futura",IF(IFERROR(VLOOKUP(E469,LISTAS!$A$2:$C$65,3,FALSE),"")&lt;&gt;D469,"La subregión no corresponde al municipio",IF(IF(L469="",FALSE,OR(L469&lt;0,L469&gt;110)),"Edad fuera de rango",IF((V469="Sí")+(W469="Sí")+(X469="Sí")+(Y469="Sí")=0,"Marque al menos un tipo de violencia","OK")))))))</f>
        <v/>
      </c>
    </row>
    <row r="470">
      <c r="A470" s="12">
        <f>IF(OR(F470="",F470="Revisar",C470=""),"",F470&amp;"-"&amp;C470&amp;"-"&amp;TEXT(COUNTIFS($F$2:F470,F470,$C$2:C470,C470),"0000"))</f>
        <v/>
      </c>
      <c r="B470" s="13" t="n"/>
      <c r="C470" s="12">
        <f>IF(ISNUMBER(B470),YEAR(B470),"")</f>
        <v/>
      </c>
      <c r="D470" s="14" t="n"/>
      <c r="E470" s="14" t="n"/>
      <c r="F470" s="12">
        <f>IF(E470="","",IFERROR(VLOOKUP(E470,LISTAS!$A$2:$C$65,2,FALSE),"Revisar"))</f>
        <v/>
      </c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2">
        <f>IF(COUNTA(B470:B470)+COUNTA(D470:E470)+COUNTA(G470:AJ470)=0,"",IF(COUNTBLANK(B470:B470)+COUNTBLANK(D470:E470)+COUNTBLANK(G470:G470)+COUNTBLANK(O470:AJ470)&gt;0,"Faltan "&amp;(COUNTBLANK(B470:B470)+COUNTBLANK(D470:E470)+COUNTBLANK(G470:G470)+COUNTBLANK(O470:AJ470))&amp;" datos obligatorios",IF(NOT(ISNUMBER(B470)),"Fecha no válida",IF(N(B470)&gt;TODAY(),"Fecha futura",IF(IFERROR(VLOOKUP(E470,LISTAS!$A$2:$C$65,3,FALSE),"")&lt;&gt;D470,"La subregión no corresponde al municipio",IF(IF(L470="",FALSE,OR(L470&lt;0,L470&gt;110)),"Edad fuera de rango",IF((V470="Sí")+(W470="Sí")+(X470="Sí")+(Y470="Sí")=0,"Marque al menos un tipo de violencia","OK")))))))</f>
        <v/>
      </c>
    </row>
    <row r="471">
      <c r="A471" s="12">
        <f>IF(OR(F471="",F471="Revisar",C471=""),"",F471&amp;"-"&amp;C471&amp;"-"&amp;TEXT(COUNTIFS($F$2:F471,F471,$C$2:C471,C471),"0000"))</f>
        <v/>
      </c>
      <c r="B471" s="13" t="n"/>
      <c r="C471" s="12">
        <f>IF(ISNUMBER(B471),YEAR(B471),"")</f>
        <v/>
      </c>
      <c r="D471" s="14" t="n"/>
      <c r="E471" s="14" t="n"/>
      <c r="F471" s="12">
        <f>IF(E471="","",IFERROR(VLOOKUP(E471,LISTAS!$A$2:$C$65,2,FALSE),"Revisar"))</f>
        <v/>
      </c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2">
        <f>IF(COUNTA(B471:B471)+COUNTA(D471:E471)+COUNTA(G471:AJ471)=0,"",IF(COUNTBLANK(B471:B471)+COUNTBLANK(D471:E471)+COUNTBLANK(G471:G471)+COUNTBLANK(O471:AJ471)&gt;0,"Faltan "&amp;(COUNTBLANK(B471:B471)+COUNTBLANK(D471:E471)+COUNTBLANK(G471:G471)+COUNTBLANK(O471:AJ471))&amp;" datos obligatorios",IF(NOT(ISNUMBER(B471)),"Fecha no válida",IF(N(B471)&gt;TODAY(),"Fecha futura",IF(IFERROR(VLOOKUP(E471,LISTAS!$A$2:$C$65,3,FALSE),"")&lt;&gt;D471,"La subregión no corresponde al municipio",IF(IF(L471="",FALSE,OR(L471&lt;0,L471&gt;110)),"Edad fuera de rango",IF((V471="Sí")+(W471="Sí")+(X471="Sí")+(Y471="Sí")=0,"Marque al menos un tipo de violencia","OK")))))))</f>
        <v/>
      </c>
    </row>
    <row r="472">
      <c r="A472" s="12">
        <f>IF(OR(F472="",F472="Revisar",C472=""),"",F472&amp;"-"&amp;C472&amp;"-"&amp;TEXT(COUNTIFS($F$2:F472,F472,$C$2:C472,C472),"0000"))</f>
        <v/>
      </c>
      <c r="B472" s="13" t="n"/>
      <c r="C472" s="12">
        <f>IF(ISNUMBER(B472),YEAR(B472),"")</f>
        <v/>
      </c>
      <c r="D472" s="14" t="n"/>
      <c r="E472" s="14" t="n"/>
      <c r="F472" s="12">
        <f>IF(E472="","",IFERROR(VLOOKUP(E472,LISTAS!$A$2:$C$65,2,FALSE),"Revisar"))</f>
        <v/>
      </c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2">
        <f>IF(COUNTA(B472:B472)+COUNTA(D472:E472)+COUNTA(G472:AJ472)=0,"",IF(COUNTBLANK(B472:B472)+COUNTBLANK(D472:E472)+COUNTBLANK(G472:G472)+COUNTBLANK(O472:AJ472)&gt;0,"Faltan "&amp;(COUNTBLANK(B472:B472)+COUNTBLANK(D472:E472)+COUNTBLANK(G472:G472)+COUNTBLANK(O472:AJ472))&amp;" datos obligatorios",IF(NOT(ISNUMBER(B472)),"Fecha no válida",IF(N(B472)&gt;TODAY(),"Fecha futura",IF(IFERROR(VLOOKUP(E472,LISTAS!$A$2:$C$65,3,FALSE),"")&lt;&gt;D472,"La subregión no corresponde al municipio",IF(IF(L472="",FALSE,OR(L472&lt;0,L472&gt;110)),"Edad fuera de rango",IF((V472="Sí")+(W472="Sí")+(X472="Sí")+(Y472="Sí")=0,"Marque al menos un tipo de violencia","OK")))))))</f>
        <v/>
      </c>
    </row>
    <row r="473">
      <c r="A473" s="12">
        <f>IF(OR(F473="",F473="Revisar",C473=""),"",F473&amp;"-"&amp;C473&amp;"-"&amp;TEXT(COUNTIFS($F$2:F473,F473,$C$2:C473,C473),"0000"))</f>
        <v/>
      </c>
      <c r="B473" s="13" t="n"/>
      <c r="C473" s="12">
        <f>IF(ISNUMBER(B473),YEAR(B473),"")</f>
        <v/>
      </c>
      <c r="D473" s="14" t="n"/>
      <c r="E473" s="14" t="n"/>
      <c r="F473" s="12">
        <f>IF(E473="","",IFERROR(VLOOKUP(E473,LISTAS!$A$2:$C$65,2,FALSE),"Revisar"))</f>
        <v/>
      </c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2">
        <f>IF(COUNTA(B473:B473)+COUNTA(D473:E473)+COUNTA(G473:AJ473)=0,"",IF(COUNTBLANK(B473:B473)+COUNTBLANK(D473:E473)+COUNTBLANK(G473:G473)+COUNTBLANK(O473:AJ473)&gt;0,"Faltan "&amp;(COUNTBLANK(B473:B473)+COUNTBLANK(D473:E473)+COUNTBLANK(G473:G473)+COUNTBLANK(O473:AJ473))&amp;" datos obligatorios",IF(NOT(ISNUMBER(B473)),"Fecha no válida",IF(N(B473)&gt;TODAY(),"Fecha futura",IF(IFERROR(VLOOKUP(E473,LISTAS!$A$2:$C$65,3,FALSE),"")&lt;&gt;D473,"La subregión no corresponde al municipio",IF(IF(L473="",FALSE,OR(L473&lt;0,L473&gt;110)),"Edad fuera de rango",IF((V473="Sí")+(W473="Sí")+(X473="Sí")+(Y473="Sí")=0,"Marque al menos un tipo de violencia","OK")))))))</f>
        <v/>
      </c>
    </row>
    <row r="474">
      <c r="A474" s="12">
        <f>IF(OR(F474="",F474="Revisar",C474=""),"",F474&amp;"-"&amp;C474&amp;"-"&amp;TEXT(COUNTIFS($F$2:F474,F474,$C$2:C474,C474),"0000"))</f>
        <v/>
      </c>
      <c r="B474" s="13" t="n"/>
      <c r="C474" s="12">
        <f>IF(ISNUMBER(B474),YEAR(B474),"")</f>
        <v/>
      </c>
      <c r="D474" s="14" t="n"/>
      <c r="E474" s="14" t="n"/>
      <c r="F474" s="12">
        <f>IF(E474="","",IFERROR(VLOOKUP(E474,LISTAS!$A$2:$C$65,2,FALSE),"Revisar"))</f>
        <v/>
      </c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2">
        <f>IF(COUNTA(B474:B474)+COUNTA(D474:E474)+COUNTA(G474:AJ474)=0,"",IF(COUNTBLANK(B474:B474)+COUNTBLANK(D474:E474)+COUNTBLANK(G474:G474)+COUNTBLANK(O474:AJ474)&gt;0,"Faltan "&amp;(COUNTBLANK(B474:B474)+COUNTBLANK(D474:E474)+COUNTBLANK(G474:G474)+COUNTBLANK(O474:AJ474))&amp;" datos obligatorios",IF(NOT(ISNUMBER(B474)),"Fecha no válida",IF(N(B474)&gt;TODAY(),"Fecha futura",IF(IFERROR(VLOOKUP(E474,LISTAS!$A$2:$C$65,3,FALSE),"")&lt;&gt;D474,"La subregión no corresponde al municipio",IF(IF(L474="",FALSE,OR(L474&lt;0,L474&gt;110)),"Edad fuera de rango",IF((V474="Sí")+(W474="Sí")+(X474="Sí")+(Y474="Sí")=0,"Marque al menos un tipo de violencia","OK")))))))</f>
        <v/>
      </c>
    </row>
    <row r="475">
      <c r="A475" s="12">
        <f>IF(OR(F475="",F475="Revisar",C475=""),"",F475&amp;"-"&amp;C475&amp;"-"&amp;TEXT(COUNTIFS($F$2:F475,F475,$C$2:C475,C475),"0000"))</f>
        <v/>
      </c>
      <c r="B475" s="13" t="n"/>
      <c r="C475" s="12">
        <f>IF(ISNUMBER(B475),YEAR(B475),"")</f>
        <v/>
      </c>
      <c r="D475" s="14" t="n"/>
      <c r="E475" s="14" t="n"/>
      <c r="F475" s="12">
        <f>IF(E475="","",IFERROR(VLOOKUP(E475,LISTAS!$A$2:$C$65,2,FALSE),"Revisar"))</f>
        <v/>
      </c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2">
        <f>IF(COUNTA(B475:B475)+COUNTA(D475:E475)+COUNTA(G475:AJ475)=0,"",IF(COUNTBLANK(B475:B475)+COUNTBLANK(D475:E475)+COUNTBLANK(G475:G475)+COUNTBLANK(O475:AJ475)&gt;0,"Faltan "&amp;(COUNTBLANK(B475:B475)+COUNTBLANK(D475:E475)+COUNTBLANK(G475:G475)+COUNTBLANK(O475:AJ475))&amp;" datos obligatorios",IF(NOT(ISNUMBER(B475)),"Fecha no válida",IF(N(B475)&gt;TODAY(),"Fecha futura",IF(IFERROR(VLOOKUP(E475,LISTAS!$A$2:$C$65,3,FALSE),"")&lt;&gt;D475,"La subregión no corresponde al municipio",IF(IF(L475="",FALSE,OR(L475&lt;0,L475&gt;110)),"Edad fuera de rango",IF((V475="Sí")+(W475="Sí")+(X475="Sí")+(Y475="Sí")=0,"Marque al menos un tipo de violencia","OK")))))))</f>
        <v/>
      </c>
    </row>
    <row r="476">
      <c r="A476" s="12">
        <f>IF(OR(F476="",F476="Revisar",C476=""),"",F476&amp;"-"&amp;C476&amp;"-"&amp;TEXT(COUNTIFS($F$2:F476,F476,$C$2:C476,C476),"0000"))</f>
        <v/>
      </c>
      <c r="B476" s="13" t="n"/>
      <c r="C476" s="12">
        <f>IF(ISNUMBER(B476),YEAR(B476),"")</f>
        <v/>
      </c>
      <c r="D476" s="14" t="n"/>
      <c r="E476" s="14" t="n"/>
      <c r="F476" s="12">
        <f>IF(E476="","",IFERROR(VLOOKUP(E476,LISTAS!$A$2:$C$65,2,FALSE),"Revisar"))</f>
        <v/>
      </c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2">
        <f>IF(COUNTA(B476:B476)+COUNTA(D476:E476)+COUNTA(G476:AJ476)=0,"",IF(COUNTBLANK(B476:B476)+COUNTBLANK(D476:E476)+COUNTBLANK(G476:G476)+COUNTBLANK(O476:AJ476)&gt;0,"Faltan "&amp;(COUNTBLANK(B476:B476)+COUNTBLANK(D476:E476)+COUNTBLANK(G476:G476)+COUNTBLANK(O476:AJ476))&amp;" datos obligatorios",IF(NOT(ISNUMBER(B476)),"Fecha no válida",IF(N(B476)&gt;TODAY(),"Fecha futura",IF(IFERROR(VLOOKUP(E476,LISTAS!$A$2:$C$65,3,FALSE),"")&lt;&gt;D476,"La subregión no corresponde al municipio",IF(IF(L476="",FALSE,OR(L476&lt;0,L476&gt;110)),"Edad fuera de rango",IF((V476="Sí")+(W476="Sí")+(X476="Sí")+(Y476="Sí")=0,"Marque al menos un tipo de violencia","OK")))))))</f>
        <v/>
      </c>
    </row>
    <row r="477">
      <c r="A477" s="12">
        <f>IF(OR(F477="",F477="Revisar",C477=""),"",F477&amp;"-"&amp;C477&amp;"-"&amp;TEXT(COUNTIFS($F$2:F477,F477,$C$2:C477,C477),"0000"))</f>
        <v/>
      </c>
      <c r="B477" s="13" t="n"/>
      <c r="C477" s="12">
        <f>IF(ISNUMBER(B477),YEAR(B477),"")</f>
        <v/>
      </c>
      <c r="D477" s="14" t="n"/>
      <c r="E477" s="14" t="n"/>
      <c r="F477" s="12">
        <f>IF(E477="","",IFERROR(VLOOKUP(E477,LISTAS!$A$2:$C$65,2,FALSE),"Revisar"))</f>
        <v/>
      </c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2">
        <f>IF(COUNTA(B477:B477)+COUNTA(D477:E477)+COUNTA(G477:AJ477)=0,"",IF(COUNTBLANK(B477:B477)+COUNTBLANK(D477:E477)+COUNTBLANK(G477:G477)+COUNTBLANK(O477:AJ477)&gt;0,"Faltan "&amp;(COUNTBLANK(B477:B477)+COUNTBLANK(D477:E477)+COUNTBLANK(G477:G477)+COUNTBLANK(O477:AJ477))&amp;" datos obligatorios",IF(NOT(ISNUMBER(B477)),"Fecha no válida",IF(N(B477)&gt;TODAY(),"Fecha futura",IF(IFERROR(VLOOKUP(E477,LISTAS!$A$2:$C$65,3,FALSE),"")&lt;&gt;D477,"La subregión no corresponde al municipio",IF(IF(L477="",FALSE,OR(L477&lt;0,L477&gt;110)),"Edad fuera de rango",IF((V477="Sí")+(W477="Sí")+(X477="Sí")+(Y477="Sí")=0,"Marque al menos un tipo de violencia","OK")))))))</f>
        <v/>
      </c>
    </row>
    <row r="478">
      <c r="A478" s="12">
        <f>IF(OR(F478="",F478="Revisar",C478=""),"",F478&amp;"-"&amp;C478&amp;"-"&amp;TEXT(COUNTIFS($F$2:F478,F478,$C$2:C478,C478),"0000"))</f>
        <v/>
      </c>
      <c r="B478" s="13" t="n"/>
      <c r="C478" s="12">
        <f>IF(ISNUMBER(B478),YEAR(B478),"")</f>
        <v/>
      </c>
      <c r="D478" s="14" t="n"/>
      <c r="E478" s="14" t="n"/>
      <c r="F478" s="12">
        <f>IF(E478="","",IFERROR(VLOOKUP(E478,LISTAS!$A$2:$C$65,2,FALSE),"Revisar"))</f>
        <v/>
      </c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2">
        <f>IF(COUNTA(B478:B478)+COUNTA(D478:E478)+COUNTA(G478:AJ478)=0,"",IF(COUNTBLANK(B478:B478)+COUNTBLANK(D478:E478)+COUNTBLANK(G478:G478)+COUNTBLANK(O478:AJ478)&gt;0,"Faltan "&amp;(COUNTBLANK(B478:B478)+COUNTBLANK(D478:E478)+COUNTBLANK(G478:G478)+COUNTBLANK(O478:AJ478))&amp;" datos obligatorios",IF(NOT(ISNUMBER(B478)),"Fecha no válida",IF(N(B478)&gt;TODAY(),"Fecha futura",IF(IFERROR(VLOOKUP(E478,LISTAS!$A$2:$C$65,3,FALSE),"")&lt;&gt;D478,"La subregión no corresponde al municipio",IF(IF(L478="",FALSE,OR(L478&lt;0,L478&gt;110)),"Edad fuera de rango",IF((V478="Sí")+(W478="Sí")+(X478="Sí")+(Y478="Sí")=0,"Marque al menos un tipo de violencia","OK")))))))</f>
        <v/>
      </c>
    </row>
    <row r="479">
      <c r="A479" s="12">
        <f>IF(OR(F479="",F479="Revisar",C479=""),"",F479&amp;"-"&amp;C479&amp;"-"&amp;TEXT(COUNTIFS($F$2:F479,F479,$C$2:C479,C479),"0000"))</f>
        <v/>
      </c>
      <c r="B479" s="13" t="n"/>
      <c r="C479" s="12">
        <f>IF(ISNUMBER(B479),YEAR(B479),"")</f>
        <v/>
      </c>
      <c r="D479" s="14" t="n"/>
      <c r="E479" s="14" t="n"/>
      <c r="F479" s="12">
        <f>IF(E479="","",IFERROR(VLOOKUP(E479,LISTAS!$A$2:$C$65,2,FALSE),"Revisar"))</f>
        <v/>
      </c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2">
        <f>IF(COUNTA(B479:B479)+COUNTA(D479:E479)+COUNTA(G479:AJ479)=0,"",IF(COUNTBLANK(B479:B479)+COUNTBLANK(D479:E479)+COUNTBLANK(G479:G479)+COUNTBLANK(O479:AJ479)&gt;0,"Faltan "&amp;(COUNTBLANK(B479:B479)+COUNTBLANK(D479:E479)+COUNTBLANK(G479:G479)+COUNTBLANK(O479:AJ479))&amp;" datos obligatorios",IF(NOT(ISNUMBER(B479)),"Fecha no válida",IF(N(B479)&gt;TODAY(),"Fecha futura",IF(IFERROR(VLOOKUP(E479,LISTAS!$A$2:$C$65,3,FALSE),"")&lt;&gt;D479,"La subregión no corresponde al municipio",IF(IF(L479="",FALSE,OR(L479&lt;0,L479&gt;110)),"Edad fuera de rango",IF((V479="Sí")+(W479="Sí")+(X479="Sí")+(Y479="Sí")=0,"Marque al menos un tipo de violencia","OK")))))))</f>
        <v/>
      </c>
    </row>
    <row r="480">
      <c r="A480" s="12">
        <f>IF(OR(F480="",F480="Revisar",C480=""),"",F480&amp;"-"&amp;C480&amp;"-"&amp;TEXT(COUNTIFS($F$2:F480,F480,$C$2:C480,C480),"0000"))</f>
        <v/>
      </c>
      <c r="B480" s="13" t="n"/>
      <c r="C480" s="12">
        <f>IF(ISNUMBER(B480),YEAR(B480),"")</f>
        <v/>
      </c>
      <c r="D480" s="14" t="n"/>
      <c r="E480" s="14" t="n"/>
      <c r="F480" s="12">
        <f>IF(E480="","",IFERROR(VLOOKUP(E480,LISTAS!$A$2:$C$65,2,FALSE),"Revisar"))</f>
        <v/>
      </c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2">
        <f>IF(COUNTA(B480:B480)+COUNTA(D480:E480)+COUNTA(G480:AJ480)=0,"",IF(COUNTBLANK(B480:B480)+COUNTBLANK(D480:E480)+COUNTBLANK(G480:G480)+COUNTBLANK(O480:AJ480)&gt;0,"Faltan "&amp;(COUNTBLANK(B480:B480)+COUNTBLANK(D480:E480)+COUNTBLANK(G480:G480)+COUNTBLANK(O480:AJ480))&amp;" datos obligatorios",IF(NOT(ISNUMBER(B480)),"Fecha no válida",IF(N(B480)&gt;TODAY(),"Fecha futura",IF(IFERROR(VLOOKUP(E480,LISTAS!$A$2:$C$65,3,FALSE),"")&lt;&gt;D480,"La subregión no corresponde al municipio",IF(IF(L480="",FALSE,OR(L480&lt;0,L480&gt;110)),"Edad fuera de rango",IF((V480="Sí")+(W480="Sí")+(X480="Sí")+(Y480="Sí")=0,"Marque al menos un tipo de violencia","OK")))))))</f>
        <v/>
      </c>
    </row>
    <row r="481">
      <c r="A481" s="12">
        <f>IF(OR(F481="",F481="Revisar",C481=""),"",F481&amp;"-"&amp;C481&amp;"-"&amp;TEXT(COUNTIFS($F$2:F481,F481,$C$2:C481,C481),"0000"))</f>
        <v/>
      </c>
      <c r="B481" s="13" t="n"/>
      <c r="C481" s="12">
        <f>IF(ISNUMBER(B481),YEAR(B481),"")</f>
        <v/>
      </c>
      <c r="D481" s="14" t="n"/>
      <c r="E481" s="14" t="n"/>
      <c r="F481" s="12">
        <f>IF(E481="","",IFERROR(VLOOKUP(E481,LISTAS!$A$2:$C$65,2,FALSE),"Revisar"))</f>
        <v/>
      </c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2">
        <f>IF(COUNTA(B481:B481)+COUNTA(D481:E481)+COUNTA(G481:AJ481)=0,"",IF(COUNTBLANK(B481:B481)+COUNTBLANK(D481:E481)+COUNTBLANK(G481:G481)+COUNTBLANK(O481:AJ481)&gt;0,"Faltan "&amp;(COUNTBLANK(B481:B481)+COUNTBLANK(D481:E481)+COUNTBLANK(G481:G481)+COUNTBLANK(O481:AJ481))&amp;" datos obligatorios",IF(NOT(ISNUMBER(B481)),"Fecha no válida",IF(N(B481)&gt;TODAY(),"Fecha futura",IF(IFERROR(VLOOKUP(E481,LISTAS!$A$2:$C$65,3,FALSE),"")&lt;&gt;D481,"La subregión no corresponde al municipio",IF(IF(L481="",FALSE,OR(L481&lt;0,L481&gt;110)),"Edad fuera de rango",IF((V481="Sí")+(W481="Sí")+(X481="Sí")+(Y481="Sí")=0,"Marque al menos un tipo de violencia","OK")))))))</f>
        <v/>
      </c>
    </row>
    <row r="482">
      <c r="A482" s="12">
        <f>IF(OR(F482="",F482="Revisar",C482=""),"",F482&amp;"-"&amp;C482&amp;"-"&amp;TEXT(COUNTIFS($F$2:F482,F482,$C$2:C482,C482),"0000"))</f>
        <v/>
      </c>
      <c r="B482" s="13" t="n"/>
      <c r="C482" s="12">
        <f>IF(ISNUMBER(B482),YEAR(B482),"")</f>
        <v/>
      </c>
      <c r="D482" s="14" t="n"/>
      <c r="E482" s="14" t="n"/>
      <c r="F482" s="12">
        <f>IF(E482="","",IFERROR(VLOOKUP(E482,LISTAS!$A$2:$C$65,2,FALSE),"Revisar"))</f>
        <v/>
      </c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2">
        <f>IF(COUNTA(B482:B482)+COUNTA(D482:E482)+COUNTA(G482:AJ482)=0,"",IF(COUNTBLANK(B482:B482)+COUNTBLANK(D482:E482)+COUNTBLANK(G482:G482)+COUNTBLANK(O482:AJ482)&gt;0,"Faltan "&amp;(COUNTBLANK(B482:B482)+COUNTBLANK(D482:E482)+COUNTBLANK(G482:G482)+COUNTBLANK(O482:AJ482))&amp;" datos obligatorios",IF(NOT(ISNUMBER(B482)),"Fecha no válida",IF(N(B482)&gt;TODAY(),"Fecha futura",IF(IFERROR(VLOOKUP(E482,LISTAS!$A$2:$C$65,3,FALSE),"")&lt;&gt;D482,"La subregión no corresponde al municipio",IF(IF(L482="",FALSE,OR(L482&lt;0,L482&gt;110)),"Edad fuera de rango",IF((V482="Sí")+(W482="Sí")+(X482="Sí")+(Y482="Sí")=0,"Marque al menos un tipo de violencia","OK")))))))</f>
        <v/>
      </c>
    </row>
    <row r="483">
      <c r="A483" s="12">
        <f>IF(OR(F483="",F483="Revisar",C483=""),"",F483&amp;"-"&amp;C483&amp;"-"&amp;TEXT(COUNTIFS($F$2:F483,F483,$C$2:C483,C483),"0000"))</f>
        <v/>
      </c>
      <c r="B483" s="13" t="n"/>
      <c r="C483" s="12">
        <f>IF(ISNUMBER(B483),YEAR(B483),"")</f>
        <v/>
      </c>
      <c r="D483" s="14" t="n"/>
      <c r="E483" s="14" t="n"/>
      <c r="F483" s="12">
        <f>IF(E483="","",IFERROR(VLOOKUP(E483,LISTAS!$A$2:$C$65,2,FALSE),"Revisar"))</f>
        <v/>
      </c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2">
        <f>IF(COUNTA(B483:B483)+COUNTA(D483:E483)+COUNTA(G483:AJ483)=0,"",IF(COUNTBLANK(B483:B483)+COUNTBLANK(D483:E483)+COUNTBLANK(G483:G483)+COUNTBLANK(O483:AJ483)&gt;0,"Faltan "&amp;(COUNTBLANK(B483:B483)+COUNTBLANK(D483:E483)+COUNTBLANK(G483:G483)+COUNTBLANK(O483:AJ483))&amp;" datos obligatorios",IF(NOT(ISNUMBER(B483)),"Fecha no válida",IF(N(B483)&gt;TODAY(),"Fecha futura",IF(IFERROR(VLOOKUP(E483,LISTAS!$A$2:$C$65,3,FALSE),"")&lt;&gt;D483,"La subregión no corresponde al municipio",IF(IF(L483="",FALSE,OR(L483&lt;0,L483&gt;110)),"Edad fuera de rango",IF((V483="Sí")+(W483="Sí")+(X483="Sí")+(Y483="Sí")=0,"Marque al menos un tipo de violencia","OK")))))))</f>
        <v/>
      </c>
    </row>
    <row r="484">
      <c r="A484" s="12">
        <f>IF(OR(F484="",F484="Revisar",C484=""),"",F484&amp;"-"&amp;C484&amp;"-"&amp;TEXT(COUNTIFS($F$2:F484,F484,$C$2:C484,C484),"0000"))</f>
        <v/>
      </c>
      <c r="B484" s="13" t="n"/>
      <c r="C484" s="12">
        <f>IF(ISNUMBER(B484),YEAR(B484),"")</f>
        <v/>
      </c>
      <c r="D484" s="14" t="n"/>
      <c r="E484" s="14" t="n"/>
      <c r="F484" s="12">
        <f>IF(E484="","",IFERROR(VLOOKUP(E484,LISTAS!$A$2:$C$65,2,FALSE),"Revisar"))</f>
        <v/>
      </c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2">
        <f>IF(COUNTA(B484:B484)+COUNTA(D484:E484)+COUNTA(G484:AJ484)=0,"",IF(COUNTBLANK(B484:B484)+COUNTBLANK(D484:E484)+COUNTBLANK(G484:G484)+COUNTBLANK(O484:AJ484)&gt;0,"Faltan "&amp;(COUNTBLANK(B484:B484)+COUNTBLANK(D484:E484)+COUNTBLANK(G484:G484)+COUNTBLANK(O484:AJ484))&amp;" datos obligatorios",IF(NOT(ISNUMBER(B484)),"Fecha no válida",IF(N(B484)&gt;TODAY(),"Fecha futura",IF(IFERROR(VLOOKUP(E484,LISTAS!$A$2:$C$65,3,FALSE),"")&lt;&gt;D484,"La subregión no corresponde al municipio",IF(IF(L484="",FALSE,OR(L484&lt;0,L484&gt;110)),"Edad fuera de rango",IF((V484="Sí")+(W484="Sí")+(X484="Sí")+(Y484="Sí")=0,"Marque al menos un tipo de violencia","OK")))))))</f>
        <v/>
      </c>
    </row>
    <row r="485">
      <c r="A485" s="12">
        <f>IF(OR(F485="",F485="Revisar",C485=""),"",F485&amp;"-"&amp;C485&amp;"-"&amp;TEXT(COUNTIFS($F$2:F485,F485,$C$2:C485,C485),"0000"))</f>
        <v/>
      </c>
      <c r="B485" s="13" t="n"/>
      <c r="C485" s="12">
        <f>IF(ISNUMBER(B485),YEAR(B485),"")</f>
        <v/>
      </c>
      <c r="D485" s="14" t="n"/>
      <c r="E485" s="14" t="n"/>
      <c r="F485" s="12">
        <f>IF(E485="","",IFERROR(VLOOKUP(E485,LISTAS!$A$2:$C$65,2,FALSE),"Revisar"))</f>
        <v/>
      </c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2">
        <f>IF(COUNTA(B485:B485)+COUNTA(D485:E485)+COUNTA(G485:AJ485)=0,"",IF(COUNTBLANK(B485:B485)+COUNTBLANK(D485:E485)+COUNTBLANK(G485:G485)+COUNTBLANK(O485:AJ485)&gt;0,"Faltan "&amp;(COUNTBLANK(B485:B485)+COUNTBLANK(D485:E485)+COUNTBLANK(G485:G485)+COUNTBLANK(O485:AJ485))&amp;" datos obligatorios",IF(NOT(ISNUMBER(B485)),"Fecha no válida",IF(N(B485)&gt;TODAY(),"Fecha futura",IF(IFERROR(VLOOKUP(E485,LISTAS!$A$2:$C$65,3,FALSE),"")&lt;&gt;D485,"La subregión no corresponde al municipio",IF(IF(L485="",FALSE,OR(L485&lt;0,L485&gt;110)),"Edad fuera de rango",IF((V485="Sí")+(W485="Sí")+(X485="Sí")+(Y485="Sí")=0,"Marque al menos un tipo de violencia","OK")))))))</f>
        <v/>
      </c>
    </row>
    <row r="486">
      <c r="A486" s="12">
        <f>IF(OR(F486="",F486="Revisar",C486=""),"",F486&amp;"-"&amp;C486&amp;"-"&amp;TEXT(COUNTIFS($F$2:F486,F486,$C$2:C486,C486),"0000"))</f>
        <v/>
      </c>
      <c r="B486" s="13" t="n"/>
      <c r="C486" s="12">
        <f>IF(ISNUMBER(B486),YEAR(B486),"")</f>
        <v/>
      </c>
      <c r="D486" s="14" t="n"/>
      <c r="E486" s="14" t="n"/>
      <c r="F486" s="12">
        <f>IF(E486="","",IFERROR(VLOOKUP(E486,LISTAS!$A$2:$C$65,2,FALSE),"Revisar"))</f>
        <v/>
      </c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2">
        <f>IF(COUNTA(B486:B486)+COUNTA(D486:E486)+COUNTA(G486:AJ486)=0,"",IF(COUNTBLANK(B486:B486)+COUNTBLANK(D486:E486)+COUNTBLANK(G486:G486)+COUNTBLANK(O486:AJ486)&gt;0,"Faltan "&amp;(COUNTBLANK(B486:B486)+COUNTBLANK(D486:E486)+COUNTBLANK(G486:G486)+COUNTBLANK(O486:AJ486))&amp;" datos obligatorios",IF(NOT(ISNUMBER(B486)),"Fecha no válida",IF(N(B486)&gt;TODAY(),"Fecha futura",IF(IFERROR(VLOOKUP(E486,LISTAS!$A$2:$C$65,3,FALSE),"")&lt;&gt;D486,"La subregión no corresponde al municipio",IF(IF(L486="",FALSE,OR(L486&lt;0,L486&gt;110)),"Edad fuera de rango",IF((V486="Sí")+(W486="Sí")+(X486="Sí")+(Y486="Sí")=0,"Marque al menos un tipo de violencia","OK")))))))</f>
        <v/>
      </c>
    </row>
    <row r="487">
      <c r="A487" s="12">
        <f>IF(OR(F487="",F487="Revisar",C487=""),"",F487&amp;"-"&amp;C487&amp;"-"&amp;TEXT(COUNTIFS($F$2:F487,F487,$C$2:C487,C487),"0000"))</f>
        <v/>
      </c>
      <c r="B487" s="13" t="n"/>
      <c r="C487" s="12">
        <f>IF(ISNUMBER(B487),YEAR(B487),"")</f>
        <v/>
      </c>
      <c r="D487" s="14" t="n"/>
      <c r="E487" s="14" t="n"/>
      <c r="F487" s="12">
        <f>IF(E487="","",IFERROR(VLOOKUP(E487,LISTAS!$A$2:$C$65,2,FALSE),"Revisar"))</f>
        <v/>
      </c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2">
        <f>IF(COUNTA(B487:B487)+COUNTA(D487:E487)+COUNTA(G487:AJ487)=0,"",IF(COUNTBLANK(B487:B487)+COUNTBLANK(D487:E487)+COUNTBLANK(G487:G487)+COUNTBLANK(O487:AJ487)&gt;0,"Faltan "&amp;(COUNTBLANK(B487:B487)+COUNTBLANK(D487:E487)+COUNTBLANK(G487:G487)+COUNTBLANK(O487:AJ487))&amp;" datos obligatorios",IF(NOT(ISNUMBER(B487)),"Fecha no válida",IF(N(B487)&gt;TODAY(),"Fecha futura",IF(IFERROR(VLOOKUP(E487,LISTAS!$A$2:$C$65,3,FALSE),"")&lt;&gt;D487,"La subregión no corresponde al municipio",IF(IF(L487="",FALSE,OR(L487&lt;0,L487&gt;110)),"Edad fuera de rango",IF((V487="Sí")+(W487="Sí")+(X487="Sí")+(Y487="Sí")=0,"Marque al menos un tipo de violencia","OK")))))))</f>
        <v/>
      </c>
    </row>
    <row r="488">
      <c r="A488" s="12">
        <f>IF(OR(F488="",F488="Revisar",C488=""),"",F488&amp;"-"&amp;C488&amp;"-"&amp;TEXT(COUNTIFS($F$2:F488,F488,$C$2:C488,C488),"0000"))</f>
        <v/>
      </c>
      <c r="B488" s="13" t="n"/>
      <c r="C488" s="12">
        <f>IF(ISNUMBER(B488),YEAR(B488),"")</f>
        <v/>
      </c>
      <c r="D488" s="14" t="n"/>
      <c r="E488" s="14" t="n"/>
      <c r="F488" s="12">
        <f>IF(E488="","",IFERROR(VLOOKUP(E488,LISTAS!$A$2:$C$65,2,FALSE),"Revisar"))</f>
        <v/>
      </c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2">
        <f>IF(COUNTA(B488:B488)+COUNTA(D488:E488)+COUNTA(G488:AJ488)=0,"",IF(COUNTBLANK(B488:B488)+COUNTBLANK(D488:E488)+COUNTBLANK(G488:G488)+COUNTBLANK(O488:AJ488)&gt;0,"Faltan "&amp;(COUNTBLANK(B488:B488)+COUNTBLANK(D488:E488)+COUNTBLANK(G488:G488)+COUNTBLANK(O488:AJ488))&amp;" datos obligatorios",IF(NOT(ISNUMBER(B488)),"Fecha no válida",IF(N(B488)&gt;TODAY(),"Fecha futura",IF(IFERROR(VLOOKUP(E488,LISTAS!$A$2:$C$65,3,FALSE),"")&lt;&gt;D488,"La subregión no corresponde al municipio",IF(IF(L488="",FALSE,OR(L488&lt;0,L488&gt;110)),"Edad fuera de rango",IF((V488="Sí")+(W488="Sí")+(X488="Sí")+(Y488="Sí")=0,"Marque al menos un tipo de violencia","OK")))))))</f>
        <v/>
      </c>
    </row>
    <row r="489">
      <c r="A489" s="12">
        <f>IF(OR(F489="",F489="Revisar",C489=""),"",F489&amp;"-"&amp;C489&amp;"-"&amp;TEXT(COUNTIFS($F$2:F489,F489,$C$2:C489,C489),"0000"))</f>
        <v/>
      </c>
      <c r="B489" s="13" t="n"/>
      <c r="C489" s="12">
        <f>IF(ISNUMBER(B489),YEAR(B489),"")</f>
        <v/>
      </c>
      <c r="D489" s="14" t="n"/>
      <c r="E489" s="14" t="n"/>
      <c r="F489" s="12">
        <f>IF(E489="","",IFERROR(VLOOKUP(E489,LISTAS!$A$2:$C$65,2,FALSE),"Revisar"))</f>
        <v/>
      </c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2">
        <f>IF(COUNTA(B489:B489)+COUNTA(D489:E489)+COUNTA(G489:AJ489)=0,"",IF(COUNTBLANK(B489:B489)+COUNTBLANK(D489:E489)+COUNTBLANK(G489:G489)+COUNTBLANK(O489:AJ489)&gt;0,"Faltan "&amp;(COUNTBLANK(B489:B489)+COUNTBLANK(D489:E489)+COUNTBLANK(G489:G489)+COUNTBLANK(O489:AJ489))&amp;" datos obligatorios",IF(NOT(ISNUMBER(B489)),"Fecha no válida",IF(N(B489)&gt;TODAY(),"Fecha futura",IF(IFERROR(VLOOKUP(E489,LISTAS!$A$2:$C$65,3,FALSE),"")&lt;&gt;D489,"La subregión no corresponde al municipio",IF(IF(L489="",FALSE,OR(L489&lt;0,L489&gt;110)),"Edad fuera de rango",IF((V489="Sí")+(W489="Sí")+(X489="Sí")+(Y489="Sí")=0,"Marque al menos un tipo de violencia","OK")))))))</f>
        <v/>
      </c>
    </row>
    <row r="490">
      <c r="A490" s="12">
        <f>IF(OR(F490="",F490="Revisar",C490=""),"",F490&amp;"-"&amp;C490&amp;"-"&amp;TEXT(COUNTIFS($F$2:F490,F490,$C$2:C490,C490),"0000"))</f>
        <v/>
      </c>
      <c r="B490" s="13" t="n"/>
      <c r="C490" s="12">
        <f>IF(ISNUMBER(B490),YEAR(B490),"")</f>
        <v/>
      </c>
      <c r="D490" s="14" t="n"/>
      <c r="E490" s="14" t="n"/>
      <c r="F490" s="12">
        <f>IF(E490="","",IFERROR(VLOOKUP(E490,LISTAS!$A$2:$C$65,2,FALSE),"Revisar"))</f>
        <v/>
      </c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2">
        <f>IF(COUNTA(B490:B490)+COUNTA(D490:E490)+COUNTA(G490:AJ490)=0,"",IF(COUNTBLANK(B490:B490)+COUNTBLANK(D490:E490)+COUNTBLANK(G490:G490)+COUNTBLANK(O490:AJ490)&gt;0,"Faltan "&amp;(COUNTBLANK(B490:B490)+COUNTBLANK(D490:E490)+COUNTBLANK(G490:G490)+COUNTBLANK(O490:AJ490))&amp;" datos obligatorios",IF(NOT(ISNUMBER(B490)),"Fecha no válida",IF(N(B490)&gt;TODAY(),"Fecha futura",IF(IFERROR(VLOOKUP(E490,LISTAS!$A$2:$C$65,3,FALSE),"")&lt;&gt;D490,"La subregión no corresponde al municipio",IF(IF(L490="",FALSE,OR(L490&lt;0,L490&gt;110)),"Edad fuera de rango",IF((V490="Sí")+(W490="Sí")+(X490="Sí")+(Y490="Sí")=0,"Marque al menos un tipo de violencia","OK")))))))</f>
        <v/>
      </c>
    </row>
    <row r="491">
      <c r="A491" s="12">
        <f>IF(OR(F491="",F491="Revisar",C491=""),"",F491&amp;"-"&amp;C491&amp;"-"&amp;TEXT(COUNTIFS($F$2:F491,F491,$C$2:C491,C491),"0000"))</f>
        <v/>
      </c>
      <c r="B491" s="13" t="n"/>
      <c r="C491" s="12">
        <f>IF(ISNUMBER(B491),YEAR(B491),"")</f>
        <v/>
      </c>
      <c r="D491" s="14" t="n"/>
      <c r="E491" s="14" t="n"/>
      <c r="F491" s="12">
        <f>IF(E491="","",IFERROR(VLOOKUP(E491,LISTAS!$A$2:$C$65,2,FALSE),"Revisar"))</f>
        <v/>
      </c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2">
        <f>IF(COUNTA(B491:B491)+COUNTA(D491:E491)+COUNTA(G491:AJ491)=0,"",IF(COUNTBLANK(B491:B491)+COUNTBLANK(D491:E491)+COUNTBLANK(G491:G491)+COUNTBLANK(O491:AJ491)&gt;0,"Faltan "&amp;(COUNTBLANK(B491:B491)+COUNTBLANK(D491:E491)+COUNTBLANK(G491:G491)+COUNTBLANK(O491:AJ491))&amp;" datos obligatorios",IF(NOT(ISNUMBER(B491)),"Fecha no válida",IF(N(B491)&gt;TODAY(),"Fecha futura",IF(IFERROR(VLOOKUP(E491,LISTAS!$A$2:$C$65,3,FALSE),"")&lt;&gt;D491,"La subregión no corresponde al municipio",IF(IF(L491="",FALSE,OR(L491&lt;0,L491&gt;110)),"Edad fuera de rango",IF((V491="Sí")+(W491="Sí")+(X491="Sí")+(Y491="Sí")=0,"Marque al menos un tipo de violencia","OK")))))))</f>
        <v/>
      </c>
    </row>
    <row r="492">
      <c r="A492" s="12">
        <f>IF(OR(F492="",F492="Revisar",C492=""),"",F492&amp;"-"&amp;C492&amp;"-"&amp;TEXT(COUNTIFS($F$2:F492,F492,$C$2:C492,C492),"0000"))</f>
        <v/>
      </c>
      <c r="B492" s="13" t="n"/>
      <c r="C492" s="12">
        <f>IF(ISNUMBER(B492),YEAR(B492),"")</f>
        <v/>
      </c>
      <c r="D492" s="14" t="n"/>
      <c r="E492" s="14" t="n"/>
      <c r="F492" s="12">
        <f>IF(E492="","",IFERROR(VLOOKUP(E492,LISTAS!$A$2:$C$65,2,FALSE),"Revisar"))</f>
        <v/>
      </c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2">
        <f>IF(COUNTA(B492:B492)+COUNTA(D492:E492)+COUNTA(G492:AJ492)=0,"",IF(COUNTBLANK(B492:B492)+COUNTBLANK(D492:E492)+COUNTBLANK(G492:G492)+COUNTBLANK(O492:AJ492)&gt;0,"Faltan "&amp;(COUNTBLANK(B492:B492)+COUNTBLANK(D492:E492)+COUNTBLANK(G492:G492)+COUNTBLANK(O492:AJ492))&amp;" datos obligatorios",IF(NOT(ISNUMBER(B492)),"Fecha no válida",IF(N(B492)&gt;TODAY(),"Fecha futura",IF(IFERROR(VLOOKUP(E492,LISTAS!$A$2:$C$65,3,FALSE),"")&lt;&gt;D492,"La subregión no corresponde al municipio",IF(IF(L492="",FALSE,OR(L492&lt;0,L492&gt;110)),"Edad fuera de rango",IF((V492="Sí")+(W492="Sí")+(X492="Sí")+(Y492="Sí")=0,"Marque al menos un tipo de violencia","OK")))))))</f>
        <v/>
      </c>
    </row>
    <row r="493">
      <c r="A493" s="12">
        <f>IF(OR(F493="",F493="Revisar",C493=""),"",F493&amp;"-"&amp;C493&amp;"-"&amp;TEXT(COUNTIFS($F$2:F493,F493,$C$2:C493,C493),"0000"))</f>
        <v/>
      </c>
      <c r="B493" s="13" t="n"/>
      <c r="C493" s="12">
        <f>IF(ISNUMBER(B493),YEAR(B493),"")</f>
        <v/>
      </c>
      <c r="D493" s="14" t="n"/>
      <c r="E493" s="14" t="n"/>
      <c r="F493" s="12">
        <f>IF(E493="","",IFERROR(VLOOKUP(E493,LISTAS!$A$2:$C$65,2,FALSE),"Revisar"))</f>
        <v/>
      </c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2">
        <f>IF(COUNTA(B493:B493)+COUNTA(D493:E493)+COUNTA(G493:AJ493)=0,"",IF(COUNTBLANK(B493:B493)+COUNTBLANK(D493:E493)+COUNTBLANK(G493:G493)+COUNTBLANK(O493:AJ493)&gt;0,"Faltan "&amp;(COUNTBLANK(B493:B493)+COUNTBLANK(D493:E493)+COUNTBLANK(G493:G493)+COUNTBLANK(O493:AJ493))&amp;" datos obligatorios",IF(NOT(ISNUMBER(B493)),"Fecha no válida",IF(N(B493)&gt;TODAY(),"Fecha futura",IF(IFERROR(VLOOKUP(E493,LISTAS!$A$2:$C$65,3,FALSE),"")&lt;&gt;D493,"La subregión no corresponde al municipio",IF(IF(L493="",FALSE,OR(L493&lt;0,L493&gt;110)),"Edad fuera de rango",IF((V493="Sí")+(W493="Sí")+(X493="Sí")+(Y493="Sí")=0,"Marque al menos un tipo de violencia","OK")))))))</f>
        <v/>
      </c>
    </row>
    <row r="494">
      <c r="A494" s="12">
        <f>IF(OR(F494="",F494="Revisar",C494=""),"",F494&amp;"-"&amp;C494&amp;"-"&amp;TEXT(COUNTIFS($F$2:F494,F494,$C$2:C494,C494),"0000"))</f>
        <v/>
      </c>
      <c r="B494" s="13" t="n"/>
      <c r="C494" s="12">
        <f>IF(ISNUMBER(B494),YEAR(B494),"")</f>
        <v/>
      </c>
      <c r="D494" s="14" t="n"/>
      <c r="E494" s="14" t="n"/>
      <c r="F494" s="12">
        <f>IF(E494="","",IFERROR(VLOOKUP(E494,LISTAS!$A$2:$C$65,2,FALSE),"Revisar"))</f>
        <v/>
      </c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2">
        <f>IF(COUNTA(B494:B494)+COUNTA(D494:E494)+COUNTA(G494:AJ494)=0,"",IF(COUNTBLANK(B494:B494)+COUNTBLANK(D494:E494)+COUNTBLANK(G494:G494)+COUNTBLANK(O494:AJ494)&gt;0,"Faltan "&amp;(COUNTBLANK(B494:B494)+COUNTBLANK(D494:E494)+COUNTBLANK(G494:G494)+COUNTBLANK(O494:AJ494))&amp;" datos obligatorios",IF(NOT(ISNUMBER(B494)),"Fecha no válida",IF(N(B494)&gt;TODAY(),"Fecha futura",IF(IFERROR(VLOOKUP(E494,LISTAS!$A$2:$C$65,3,FALSE),"")&lt;&gt;D494,"La subregión no corresponde al municipio",IF(IF(L494="",FALSE,OR(L494&lt;0,L494&gt;110)),"Edad fuera de rango",IF((V494="Sí")+(W494="Sí")+(X494="Sí")+(Y494="Sí")=0,"Marque al menos un tipo de violencia","OK")))))))</f>
        <v/>
      </c>
    </row>
    <row r="495">
      <c r="A495" s="12">
        <f>IF(OR(F495="",F495="Revisar",C495=""),"",F495&amp;"-"&amp;C495&amp;"-"&amp;TEXT(COUNTIFS($F$2:F495,F495,$C$2:C495,C495),"0000"))</f>
        <v/>
      </c>
      <c r="B495" s="13" t="n"/>
      <c r="C495" s="12">
        <f>IF(ISNUMBER(B495),YEAR(B495),"")</f>
        <v/>
      </c>
      <c r="D495" s="14" t="n"/>
      <c r="E495" s="14" t="n"/>
      <c r="F495" s="12">
        <f>IF(E495="","",IFERROR(VLOOKUP(E495,LISTAS!$A$2:$C$65,2,FALSE),"Revisar"))</f>
        <v/>
      </c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2">
        <f>IF(COUNTA(B495:B495)+COUNTA(D495:E495)+COUNTA(G495:AJ495)=0,"",IF(COUNTBLANK(B495:B495)+COUNTBLANK(D495:E495)+COUNTBLANK(G495:G495)+COUNTBLANK(O495:AJ495)&gt;0,"Faltan "&amp;(COUNTBLANK(B495:B495)+COUNTBLANK(D495:E495)+COUNTBLANK(G495:G495)+COUNTBLANK(O495:AJ495))&amp;" datos obligatorios",IF(NOT(ISNUMBER(B495)),"Fecha no válida",IF(N(B495)&gt;TODAY(),"Fecha futura",IF(IFERROR(VLOOKUP(E495,LISTAS!$A$2:$C$65,3,FALSE),"")&lt;&gt;D495,"La subregión no corresponde al municipio",IF(IF(L495="",FALSE,OR(L495&lt;0,L495&gt;110)),"Edad fuera de rango",IF((V495="Sí")+(W495="Sí")+(X495="Sí")+(Y495="Sí")=0,"Marque al menos un tipo de violencia","OK")))))))</f>
        <v/>
      </c>
    </row>
    <row r="496">
      <c r="A496" s="12">
        <f>IF(OR(F496="",F496="Revisar",C496=""),"",F496&amp;"-"&amp;C496&amp;"-"&amp;TEXT(COUNTIFS($F$2:F496,F496,$C$2:C496,C496),"0000"))</f>
        <v/>
      </c>
      <c r="B496" s="13" t="n"/>
      <c r="C496" s="12">
        <f>IF(ISNUMBER(B496),YEAR(B496),"")</f>
        <v/>
      </c>
      <c r="D496" s="14" t="n"/>
      <c r="E496" s="14" t="n"/>
      <c r="F496" s="12">
        <f>IF(E496="","",IFERROR(VLOOKUP(E496,LISTAS!$A$2:$C$65,2,FALSE),"Revisar"))</f>
        <v/>
      </c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2">
        <f>IF(COUNTA(B496:B496)+COUNTA(D496:E496)+COUNTA(G496:AJ496)=0,"",IF(COUNTBLANK(B496:B496)+COUNTBLANK(D496:E496)+COUNTBLANK(G496:G496)+COUNTBLANK(O496:AJ496)&gt;0,"Faltan "&amp;(COUNTBLANK(B496:B496)+COUNTBLANK(D496:E496)+COUNTBLANK(G496:G496)+COUNTBLANK(O496:AJ496))&amp;" datos obligatorios",IF(NOT(ISNUMBER(B496)),"Fecha no válida",IF(N(B496)&gt;TODAY(),"Fecha futura",IF(IFERROR(VLOOKUP(E496,LISTAS!$A$2:$C$65,3,FALSE),"")&lt;&gt;D496,"La subregión no corresponde al municipio",IF(IF(L496="",FALSE,OR(L496&lt;0,L496&gt;110)),"Edad fuera de rango",IF((V496="Sí")+(W496="Sí")+(X496="Sí")+(Y496="Sí")=0,"Marque al menos un tipo de violencia","OK")))))))</f>
        <v/>
      </c>
    </row>
    <row r="497">
      <c r="A497" s="12">
        <f>IF(OR(F497="",F497="Revisar",C497=""),"",F497&amp;"-"&amp;C497&amp;"-"&amp;TEXT(COUNTIFS($F$2:F497,F497,$C$2:C497,C497),"0000"))</f>
        <v/>
      </c>
      <c r="B497" s="13" t="n"/>
      <c r="C497" s="12">
        <f>IF(ISNUMBER(B497),YEAR(B497),"")</f>
        <v/>
      </c>
      <c r="D497" s="14" t="n"/>
      <c r="E497" s="14" t="n"/>
      <c r="F497" s="12">
        <f>IF(E497="","",IFERROR(VLOOKUP(E497,LISTAS!$A$2:$C$65,2,FALSE),"Revisar"))</f>
        <v/>
      </c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2">
        <f>IF(COUNTA(B497:B497)+COUNTA(D497:E497)+COUNTA(G497:AJ497)=0,"",IF(COUNTBLANK(B497:B497)+COUNTBLANK(D497:E497)+COUNTBLANK(G497:G497)+COUNTBLANK(O497:AJ497)&gt;0,"Faltan "&amp;(COUNTBLANK(B497:B497)+COUNTBLANK(D497:E497)+COUNTBLANK(G497:G497)+COUNTBLANK(O497:AJ497))&amp;" datos obligatorios",IF(NOT(ISNUMBER(B497)),"Fecha no válida",IF(N(B497)&gt;TODAY(),"Fecha futura",IF(IFERROR(VLOOKUP(E497,LISTAS!$A$2:$C$65,3,FALSE),"")&lt;&gt;D497,"La subregión no corresponde al municipio",IF(IF(L497="",FALSE,OR(L497&lt;0,L497&gt;110)),"Edad fuera de rango",IF((V497="Sí")+(W497="Sí")+(X497="Sí")+(Y497="Sí")=0,"Marque al menos un tipo de violencia","OK")))))))</f>
        <v/>
      </c>
    </row>
    <row r="498">
      <c r="A498" s="12">
        <f>IF(OR(F498="",F498="Revisar",C498=""),"",F498&amp;"-"&amp;C498&amp;"-"&amp;TEXT(COUNTIFS($F$2:F498,F498,$C$2:C498,C498),"0000"))</f>
        <v/>
      </c>
      <c r="B498" s="13" t="n"/>
      <c r="C498" s="12">
        <f>IF(ISNUMBER(B498),YEAR(B498),"")</f>
        <v/>
      </c>
      <c r="D498" s="14" t="n"/>
      <c r="E498" s="14" t="n"/>
      <c r="F498" s="12">
        <f>IF(E498="","",IFERROR(VLOOKUP(E498,LISTAS!$A$2:$C$65,2,FALSE),"Revisar"))</f>
        <v/>
      </c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2">
        <f>IF(COUNTA(B498:B498)+COUNTA(D498:E498)+COUNTA(G498:AJ498)=0,"",IF(COUNTBLANK(B498:B498)+COUNTBLANK(D498:E498)+COUNTBLANK(G498:G498)+COUNTBLANK(O498:AJ498)&gt;0,"Faltan "&amp;(COUNTBLANK(B498:B498)+COUNTBLANK(D498:E498)+COUNTBLANK(G498:G498)+COUNTBLANK(O498:AJ498))&amp;" datos obligatorios",IF(NOT(ISNUMBER(B498)),"Fecha no válida",IF(N(B498)&gt;TODAY(),"Fecha futura",IF(IFERROR(VLOOKUP(E498,LISTAS!$A$2:$C$65,3,FALSE),"")&lt;&gt;D498,"La subregión no corresponde al municipio",IF(IF(L498="",FALSE,OR(L498&lt;0,L498&gt;110)),"Edad fuera de rango",IF((V498="Sí")+(W498="Sí")+(X498="Sí")+(Y498="Sí")=0,"Marque al menos un tipo de violencia","OK")))))))</f>
        <v/>
      </c>
    </row>
    <row r="499">
      <c r="A499" s="12">
        <f>IF(OR(F499="",F499="Revisar",C499=""),"",F499&amp;"-"&amp;C499&amp;"-"&amp;TEXT(COUNTIFS($F$2:F499,F499,$C$2:C499,C499),"0000"))</f>
        <v/>
      </c>
      <c r="B499" s="13" t="n"/>
      <c r="C499" s="12">
        <f>IF(ISNUMBER(B499),YEAR(B499),"")</f>
        <v/>
      </c>
      <c r="D499" s="14" t="n"/>
      <c r="E499" s="14" t="n"/>
      <c r="F499" s="12">
        <f>IF(E499="","",IFERROR(VLOOKUP(E499,LISTAS!$A$2:$C$65,2,FALSE),"Revisar"))</f>
        <v/>
      </c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2">
        <f>IF(COUNTA(B499:B499)+COUNTA(D499:E499)+COUNTA(G499:AJ499)=0,"",IF(COUNTBLANK(B499:B499)+COUNTBLANK(D499:E499)+COUNTBLANK(G499:G499)+COUNTBLANK(O499:AJ499)&gt;0,"Faltan "&amp;(COUNTBLANK(B499:B499)+COUNTBLANK(D499:E499)+COUNTBLANK(G499:G499)+COUNTBLANK(O499:AJ499))&amp;" datos obligatorios",IF(NOT(ISNUMBER(B499)),"Fecha no válida",IF(N(B499)&gt;TODAY(),"Fecha futura",IF(IFERROR(VLOOKUP(E499,LISTAS!$A$2:$C$65,3,FALSE),"")&lt;&gt;D499,"La subregión no corresponde al municipio",IF(IF(L499="",FALSE,OR(L499&lt;0,L499&gt;110)),"Edad fuera de rango",IF((V499="Sí")+(W499="Sí")+(X499="Sí")+(Y499="Sí")=0,"Marque al menos un tipo de violencia","OK")))))))</f>
        <v/>
      </c>
    </row>
    <row r="500">
      <c r="A500" s="12">
        <f>IF(OR(F500="",F500="Revisar",C500=""),"",F500&amp;"-"&amp;C500&amp;"-"&amp;TEXT(COUNTIFS($F$2:F500,F500,$C$2:C500,C500),"0000"))</f>
        <v/>
      </c>
      <c r="B500" s="13" t="n"/>
      <c r="C500" s="12">
        <f>IF(ISNUMBER(B500),YEAR(B500),"")</f>
        <v/>
      </c>
      <c r="D500" s="14" t="n"/>
      <c r="E500" s="14" t="n"/>
      <c r="F500" s="12">
        <f>IF(E500="","",IFERROR(VLOOKUP(E500,LISTAS!$A$2:$C$65,2,FALSE),"Revisar"))</f>
        <v/>
      </c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2">
        <f>IF(COUNTA(B500:B500)+COUNTA(D500:E500)+COUNTA(G500:AJ500)=0,"",IF(COUNTBLANK(B500:B500)+COUNTBLANK(D500:E500)+COUNTBLANK(G500:G500)+COUNTBLANK(O500:AJ500)&gt;0,"Faltan "&amp;(COUNTBLANK(B500:B500)+COUNTBLANK(D500:E500)+COUNTBLANK(G500:G500)+COUNTBLANK(O500:AJ500))&amp;" datos obligatorios",IF(NOT(ISNUMBER(B500)),"Fecha no válida",IF(N(B500)&gt;TODAY(),"Fecha futura",IF(IFERROR(VLOOKUP(E500,LISTAS!$A$2:$C$65,3,FALSE),"")&lt;&gt;D500,"La subregión no corresponde al municipio",IF(IF(L500="",FALSE,OR(L500&lt;0,L500&gt;110)),"Edad fuera de rango",IF((V500="Sí")+(W500="Sí")+(X500="Sí")+(Y500="Sí")=0,"Marque al menos un tipo de violencia","OK")))))))</f>
        <v/>
      </c>
    </row>
    <row r="501">
      <c r="A501" s="12">
        <f>IF(OR(F501="",F501="Revisar",C501=""),"",F501&amp;"-"&amp;C501&amp;"-"&amp;TEXT(COUNTIFS($F$2:F501,F501,$C$2:C501,C501),"0000"))</f>
        <v/>
      </c>
      <c r="B501" s="13" t="n"/>
      <c r="C501" s="12">
        <f>IF(ISNUMBER(B501),YEAR(B501),"")</f>
        <v/>
      </c>
      <c r="D501" s="14" t="n"/>
      <c r="E501" s="14" t="n"/>
      <c r="F501" s="12">
        <f>IF(E501="","",IFERROR(VLOOKUP(E501,LISTAS!$A$2:$C$65,2,FALSE),"Revisar"))</f>
        <v/>
      </c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2">
        <f>IF(COUNTA(B501:B501)+COUNTA(D501:E501)+COUNTA(G501:AJ501)=0,"",IF(COUNTBLANK(B501:B501)+COUNTBLANK(D501:E501)+COUNTBLANK(G501:G501)+COUNTBLANK(O501:AJ501)&gt;0,"Faltan "&amp;(COUNTBLANK(B501:B501)+COUNTBLANK(D501:E501)+COUNTBLANK(G501:G501)+COUNTBLANK(O501:AJ501))&amp;" datos obligatorios",IF(NOT(ISNUMBER(B501)),"Fecha no válida",IF(N(B501)&gt;TODAY(),"Fecha futura",IF(IFERROR(VLOOKUP(E501,LISTAS!$A$2:$C$65,3,FALSE),"")&lt;&gt;D501,"La subregión no corresponde al municipio",IF(IF(L501="",FALSE,OR(L501&lt;0,L501&gt;110)),"Edad fuera de rango",IF((V501="Sí")+(W501="Sí")+(X501="Sí")+(Y501="Sí")=0,"Marque al menos un tipo de violencia","OK")))))))</f>
        <v/>
      </c>
    </row>
    <row r="502">
      <c r="A502" s="12">
        <f>IF(OR(F502="",F502="Revisar",C502=""),"",F502&amp;"-"&amp;C502&amp;"-"&amp;TEXT(COUNTIFS($F$2:F502,F502,$C$2:C502,C502),"0000"))</f>
        <v/>
      </c>
      <c r="B502" s="13" t="n"/>
      <c r="C502" s="12">
        <f>IF(ISNUMBER(B502),YEAR(B502),"")</f>
        <v/>
      </c>
      <c r="D502" s="14" t="n"/>
      <c r="E502" s="14" t="n"/>
      <c r="F502" s="12">
        <f>IF(E502="","",IFERROR(VLOOKUP(E502,LISTAS!$A$2:$C$65,2,FALSE),"Revisar"))</f>
        <v/>
      </c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2">
        <f>IF(COUNTA(B502:B502)+COUNTA(D502:E502)+COUNTA(G502:AJ502)=0,"",IF(COUNTBLANK(B502:B502)+COUNTBLANK(D502:E502)+COUNTBLANK(G502:G502)+COUNTBLANK(O502:AJ502)&gt;0,"Faltan "&amp;(COUNTBLANK(B502:B502)+COUNTBLANK(D502:E502)+COUNTBLANK(G502:G502)+COUNTBLANK(O502:AJ502))&amp;" datos obligatorios",IF(NOT(ISNUMBER(B502)),"Fecha no válida",IF(N(B502)&gt;TODAY(),"Fecha futura",IF(IFERROR(VLOOKUP(E502,LISTAS!$A$2:$C$65,3,FALSE),"")&lt;&gt;D502,"La subregión no corresponde al municipio",IF(IF(L502="",FALSE,OR(L502&lt;0,L502&gt;110)),"Edad fuera de rango",IF((V502="Sí")+(W502="Sí")+(X502="Sí")+(Y502="Sí")=0,"Marque al menos un tipo de violencia","OK")))))))</f>
        <v/>
      </c>
    </row>
    <row r="503">
      <c r="A503" s="12">
        <f>IF(OR(F503="",F503="Revisar",C503=""),"",F503&amp;"-"&amp;C503&amp;"-"&amp;TEXT(COUNTIFS($F$2:F503,F503,$C$2:C503,C503),"0000"))</f>
        <v/>
      </c>
      <c r="B503" s="13" t="n"/>
      <c r="C503" s="12">
        <f>IF(ISNUMBER(B503),YEAR(B503),"")</f>
        <v/>
      </c>
      <c r="D503" s="14" t="n"/>
      <c r="E503" s="14" t="n"/>
      <c r="F503" s="12">
        <f>IF(E503="","",IFERROR(VLOOKUP(E503,LISTAS!$A$2:$C$65,2,FALSE),"Revisar"))</f>
        <v/>
      </c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2">
        <f>IF(COUNTA(B503:B503)+COUNTA(D503:E503)+COUNTA(G503:AJ503)=0,"",IF(COUNTBLANK(B503:B503)+COUNTBLANK(D503:E503)+COUNTBLANK(G503:G503)+COUNTBLANK(O503:AJ503)&gt;0,"Faltan "&amp;(COUNTBLANK(B503:B503)+COUNTBLANK(D503:E503)+COUNTBLANK(G503:G503)+COUNTBLANK(O503:AJ503))&amp;" datos obligatorios",IF(NOT(ISNUMBER(B503)),"Fecha no válida",IF(N(B503)&gt;TODAY(),"Fecha futura",IF(IFERROR(VLOOKUP(E503,LISTAS!$A$2:$C$65,3,FALSE),"")&lt;&gt;D503,"La subregión no corresponde al municipio",IF(IF(L503="",FALSE,OR(L503&lt;0,L503&gt;110)),"Edad fuera de rango",IF((V503="Sí")+(W503="Sí")+(X503="Sí")+(Y503="Sí")=0,"Marque al menos un tipo de violencia","OK")))))))</f>
        <v/>
      </c>
    </row>
    <row r="504">
      <c r="A504" s="12">
        <f>IF(OR(F504="",F504="Revisar",C504=""),"",F504&amp;"-"&amp;C504&amp;"-"&amp;TEXT(COUNTIFS($F$2:F504,F504,$C$2:C504,C504),"0000"))</f>
        <v/>
      </c>
      <c r="B504" s="13" t="n"/>
      <c r="C504" s="12">
        <f>IF(ISNUMBER(B504),YEAR(B504),"")</f>
        <v/>
      </c>
      <c r="D504" s="14" t="n"/>
      <c r="E504" s="14" t="n"/>
      <c r="F504" s="12">
        <f>IF(E504="","",IFERROR(VLOOKUP(E504,LISTAS!$A$2:$C$65,2,FALSE),"Revisar"))</f>
        <v/>
      </c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2">
        <f>IF(COUNTA(B504:B504)+COUNTA(D504:E504)+COUNTA(G504:AJ504)=0,"",IF(COUNTBLANK(B504:B504)+COUNTBLANK(D504:E504)+COUNTBLANK(G504:G504)+COUNTBLANK(O504:AJ504)&gt;0,"Faltan "&amp;(COUNTBLANK(B504:B504)+COUNTBLANK(D504:E504)+COUNTBLANK(G504:G504)+COUNTBLANK(O504:AJ504))&amp;" datos obligatorios",IF(NOT(ISNUMBER(B504)),"Fecha no válida",IF(N(B504)&gt;TODAY(),"Fecha futura",IF(IFERROR(VLOOKUP(E504,LISTAS!$A$2:$C$65,3,FALSE),"")&lt;&gt;D504,"La subregión no corresponde al municipio",IF(IF(L504="",FALSE,OR(L504&lt;0,L504&gt;110)),"Edad fuera de rango",IF((V504="Sí")+(W504="Sí")+(X504="Sí")+(Y504="Sí")=0,"Marque al menos un tipo de violencia","OK")))))))</f>
        <v/>
      </c>
    </row>
    <row r="505">
      <c r="A505" s="12">
        <f>IF(OR(F505="",F505="Revisar",C505=""),"",F505&amp;"-"&amp;C505&amp;"-"&amp;TEXT(COUNTIFS($F$2:F505,F505,$C$2:C505,C505),"0000"))</f>
        <v/>
      </c>
      <c r="B505" s="13" t="n"/>
      <c r="C505" s="12">
        <f>IF(ISNUMBER(B505),YEAR(B505),"")</f>
        <v/>
      </c>
      <c r="D505" s="14" t="n"/>
      <c r="E505" s="14" t="n"/>
      <c r="F505" s="12">
        <f>IF(E505="","",IFERROR(VLOOKUP(E505,LISTAS!$A$2:$C$65,2,FALSE),"Revisar"))</f>
        <v/>
      </c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2">
        <f>IF(COUNTA(B505:B505)+COUNTA(D505:E505)+COUNTA(G505:AJ505)=0,"",IF(COUNTBLANK(B505:B505)+COUNTBLANK(D505:E505)+COUNTBLANK(G505:G505)+COUNTBLANK(O505:AJ505)&gt;0,"Faltan "&amp;(COUNTBLANK(B505:B505)+COUNTBLANK(D505:E505)+COUNTBLANK(G505:G505)+COUNTBLANK(O505:AJ505))&amp;" datos obligatorios",IF(NOT(ISNUMBER(B505)),"Fecha no válida",IF(N(B505)&gt;TODAY(),"Fecha futura",IF(IFERROR(VLOOKUP(E505,LISTAS!$A$2:$C$65,3,FALSE),"")&lt;&gt;D505,"La subregión no corresponde al municipio",IF(IF(L505="",FALSE,OR(L505&lt;0,L505&gt;110)),"Edad fuera de rango",IF((V505="Sí")+(W505="Sí")+(X505="Sí")+(Y505="Sí")=0,"Marque al menos un tipo de violencia","OK")))))))</f>
        <v/>
      </c>
    </row>
    <row r="506">
      <c r="A506" s="12">
        <f>IF(OR(F506="",F506="Revisar",C506=""),"",F506&amp;"-"&amp;C506&amp;"-"&amp;TEXT(COUNTIFS($F$2:F506,F506,$C$2:C506,C506),"0000"))</f>
        <v/>
      </c>
      <c r="B506" s="13" t="n"/>
      <c r="C506" s="12">
        <f>IF(ISNUMBER(B506),YEAR(B506),"")</f>
        <v/>
      </c>
      <c r="D506" s="14" t="n"/>
      <c r="E506" s="14" t="n"/>
      <c r="F506" s="12">
        <f>IF(E506="","",IFERROR(VLOOKUP(E506,LISTAS!$A$2:$C$65,2,FALSE),"Revisar"))</f>
        <v/>
      </c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2">
        <f>IF(COUNTA(B506:B506)+COUNTA(D506:E506)+COUNTA(G506:AJ506)=0,"",IF(COUNTBLANK(B506:B506)+COUNTBLANK(D506:E506)+COUNTBLANK(G506:G506)+COUNTBLANK(O506:AJ506)&gt;0,"Faltan "&amp;(COUNTBLANK(B506:B506)+COUNTBLANK(D506:E506)+COUNTBLANK(G506:G506)+COUNTBLANK(O506:AJ506))&amp;" datos obligatorios",IF(NOT(ISNUMBER(B506)),"Fecha no válida",IF(N(B506)&gt;TODAY(),"Fecha futura",IF(IFERROR(VLOOKUP(E506,LISTAS!$A$2:$C$65,3,FALSE),"")&lt;&gt;D506,"La subregión no corresponde al municipio",IF(IF(L506="",FALSE,OR(L506&lt;0,L506&gt;110)),"Edad fuera de rango",IF((V506="Sí")+(W506="Sí")+(X506="Sí")+(Y506="Sí")=0,"Marque al menos un tipo de violencia","OK")))))))</f>
        <v/>
      </c>
    </row>
    <row r="507">
      <c r="A507" s="12">
        <f>IF(OR(F507="",F507="Revisar",C507=""),"",F507&amp;"-"&amp;C507&amp;"-"&amp;TEXT(COUNTIFS($F$2:F507,F507,$C$2:C507,C507),"0000"))</f>
        <v/>
      </c>
      <c r="B507" s="13" t="n"/>
      <c r="C507" s="12">
        <f>IF(ISNUMBER(B507),YEAR(B507),"")</f>
        <v/>
      </c>
      <c r="D507" s="14" t="n"/>
      <c r="E507" s="14" t="n"/>
      <c r="F507" s="12">
        <f>IF(E507="","",IFERROR(VLOOKUP(E507,LISTAS!$A$2:$C$65,2,FALSE),"Revisar"))</f>
        <v/>
      </c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2">
        <f>IF(COUNTA(B507:B507)+COUNTA(D507:E507)+COUNTA(G507:AJ507)=0,"",IF(COUNTBLANK(B507:B507)+COUNTBLANK(D507:E507)+COUNTBLANK(G507:G507)+COUNTBLANK(O507:AJ507)&gt;0,"Faltan "&amp;(COUNTBLANK(B507:B507)+COUNTBLANK(D507:E507)+COUNTBLANK(G507:G507)+COUNTBLANK(O507:AJ507))&amp;" datos obligatorios",IF(NOT(ISNUMBER(B507)),"Fecha no válida",IF(N(B507)&gt;TODAY(),"Fecha futura",IF(IFERROR(VLOOKUP(E507,LISTAS!$A$2:$C$65,3,FALSE),"")&lt;&gt;D507,"La subregión no corresponde al municipio",IF(IF(L507="",FALSE,OR(L507&lt;0,L507&gt;110)),"Edad fuera de rango",IF((V507="Sí")+(W507="Sí")+(X507="Sí")+(Y507="Sí")=0,"Marque al menos un tipo de violencia","OK")))))))</f>
        <v/>
      </c>
    </row>
    <row r="508">
      <c r="A508" s="12">
        <f>IF(OR(F508="",F508="Revisar",C508=""),"",F508&amp;"-"&amp;C508&amp;"-"&amp;TEXT(COUNTIFS($F$2:F508,F508,$C$2:C508,C508),"0000"))</f>
        <v/>
      </c>
      <c r="B508" s="13" t="n"/>
      <c r="C508" s="12">
        <f>IF(ISNUMBER(B508),YEAR(B508),"")</f>
        <v/>
      </c>
      <c r="D508" s="14" t="n"/>
      <c r="E508" s="14" t="n"/>
      <c r="F508" s="12">
        <f>IF(E508="","",IFERROR(VLOOKUP(E508,LISTAS!$A$2:$C$65,2,FALSE),"Revisar"))</f>
        <v/>
      </c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2">
        <f>IF(COUNTA(B508:B508)+COUNTA(D508:E508)+COUNTA(G508:AJ508)=0,"",IF(COUNTBLANK(B508:B508)+COUNTBLANK(D508:E508)+COUNTBLANK(G508:G508)+COUNTBLANK(O508:AJ508)&gt;0,"Faltan "&amp;(COUNTBLANK(B508:B508)+COUNTBLANK(D508:E508)+COUNTBLANK(G508:G508)+COUNTBLANK(O508:AJ508))&amp;" datos obligatorios",IF(NOT(ISNUMBER(B508)),"Fecha no válida",IF(N(B508)&gt;TODAY(),"Fecha futura",IF(IFERROR(VLOOKUP(E508,LISTAS!$A$2:$C$65,3,FALSE),"")&lt;&gt;D508,"La subregión no corresponde al municipio",IF(IF(L508="",FALSE,OR(L508&lt;0,L508&gt;110)),"Edad fuera de rango",IF((V508="Sí")+(W508="Sí")+(X508="Sí")+(Y508="Sí")=0,"Marque al menos un tipo de violencia","OK")))))))</f>
        <v/>
      </c>
    </row>
    <row r="509">
      <c r="A509" s="12">
        <f>IF(OR(F509="",F509="Revisar",C509=""),"",F509&amp;"-"&amp;C509&amp;"-"&amp;TEXT(COUNTIFS($F$2:F509,F509,$C$2:C509,C509),"0000"))</f>
        <v/>
      </c>
      <c r="B509" s="13" t="n"/>
      <c r="C509" s="12">
        <f>IF(ISNUMBER(B509),YEAR(B509),"")</f>
        <v/>
      </c>
      <c r="D509" s="14" t="n"/>
      <c r="E509" s="14" t="n"/>
      <c r="F509" s="12">
        <f>IF(E509="","",IFERROR(VLOOKUP(E509,LISTAS!$A$2:$C$65,2,FALSE),"Revisar"))</f>
        <v/>
      </c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2">
        <f>IF(COUNTA(B509:B509)+COUNTA(D509:E509)+COUNTA(G509:AJ509)=0,"",IF(COUNTBLANK(B509:B509)+COUNTBLANK(D509:E509)+COUNTBLANK(G509:G509)+COUNTBLANK(O509:AJ509)&gt;0,"Faltan "&amp;(COUNTBLANK(B509:B509)+COUNTBLANK(D509:E509)+COUNTBLANK(G509:G509)+COUNTBLANK(O509:AJ509))&amp;" datos obligatorios",IF(NOT(ISNUMBER(B509)),"Fecha no válida",IF(N(B509)&gt;TODAY(),"Fecha futura",IF(IFERROR(VLOOKUP(E509,LISTAS!$A$2:$C$65,3,FALSE),"")&lt;&gt;D509,"La subregión no corresponde al municipio",IF(IF(L509="",FALSE,OR(L509&lt;0,L509&gt;110)),"Edad fuera de rango",IF((V509="Sí")+(W509="Sí")+(X509="Sí")+(Y509="Sí")=0,"Marque al menos un tipo de violencia","OK")))))))</f>
        <v/>
      </c>
    </row>
    <row r="510">
      <c r="A510" s="12">
        <f>IF(OR(F510="",F510="Revisar",C510=""),"",F510&amp;"-"&amp;C510&amp;"-"&amp;TEXT(COUNTIFS($F$2:F510,F510,$C$2:C510,C510),"0000"))</f>
        <v/>
      </c>
      <c r="B510" s="13" t="n"/>
      <c r="C510" s="12">
        <f>IF(ISNUMBER(B510),YEAR(B510),"")</f>
        <v/>
      </c>
      <c r="D510" s="14" t="n"/>
      <c r="E510" s="14" t="n"/>
      <c r="F510" s="12">
        <f>IF(E510="","",IFERROR(VLOOKUP(E510,LISTAS!$A$2:$C$65,2,FALSE),"Revisar"))</f>
        <v/>
      </c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2">
        <f>IF(COUNTA(B510:B510)+COUNTA(D510:E510)+COUNTA(G510:AJ510)=0,"",IF(COUNTBLANK(B510:B510)+COUNTBLANK(D510:E510)+COUNTBLANK(G510:G510)+COUNTBLANK(O510:AJ510)&gt;0,"Faltan "&amp;(COUNTBLANK(B510:B510)+COUNTBLANK(D510:E510)+COUNTBLANK(G510:G510)+COUNTBLANK(O510:AJ510))&amp;" datos obligatorios",IF(NOT(ISNUMBER(B510)),"Fecha no válida",IF(N(B510)&gt;TODAY(),"Fecha futura",IF(IFERROR(VLOOKUP(E510,LISTAS!$A$2:$C$65,3,FALSE),"")&lt;&gt;D510,"La subregión no corresponde al municipio",IF(IF(L510="",FALSE,OR(L510&lt;0,L510&gt;110)),"Edad fuera de rango",IF((V510="Sí")+(W510="Sí")+(X510="Sí")+(Y510="Sí")=0,"Marque al menos un tipo de violencia","OK")))))))</f>
        <v/>
      </c>
    </row>
    <row r="511">
      <c r="A511" s="12">
        <f>IF(OR(F511="",F511="Revisar",C511=""),"",F511&amp;"-"&amp;C511&amp;"-"&amp;TEXT(COUNTIFS($F$2:F511,F511,$C$2:C511,C511),"0000"))</f>
        <v/>
      </c>
      <c r="B511" s="13" t="n"/>
      <c r="C511" s="12">
        <f>IF(ISNUMBER(B511),YEAR(B511),"")</f>
        <v/>
      </c>
      <c r="D511" s="14" t="n"/>
      <c r="E511" s="14" t="n"/>
      <c r="F511" s="12">
        <f>IF(E511="","",IFERROR(VLOOKUP(E511,LISTAS!$A$2:$C$65,2,FALSE),"Revisar"))</f>
        <v/>
      </c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2">
        <f>IF(COUNTA(B511:B511)+COUNTA(D511:E511)+COUNTA(G511:AJ511)=0,"",IF(COUNTBLANK(B511:B511)+COUNTBLANK(D511:E511)+COUNTBLANK(G511:G511)+COUNTBLANK(O511:AJ511)&gt;0,"Faltan "&amp;(COUNTBLANK(B511:B511)+COUNTBLANK(D511:E511)+COUNTBLANK(G511:G511)+COUNTBLANK(O511:AJ511))&amp;" datos obligatorios",IF(NOT(ISNUMBER(B511)),"Fecha no válida",IF(N(B511)&gt;TODAY(),"Fecha futura",IF(IFERROR(VLOOKUP(E511,LISTAS!$A$2:$C$65,3,FALSE),"")&lt;&gt;D511,"La subregión no corresponde al municipio",IF(IF(L511="",FALSE,OR(L511&lt;0,L511&gt;110)),"Edad fuera de rango",IF((V511="Sí")+(W511="Sí")+(X511="Sí")+(Y511="Sí")=0,"Marque al menos un tipo de violencia","OK")))))))</f>
        <v/>
      </c>
    </row>
    <row r="512">
      <c r="A512" s="12">
        <f>IF(OR(F512="",F512="Revisar",C512=""),"",F512&amp;"-"&amp;C512&amp;"-"&amp;TEXT(COUNTIFS($F$2:F512,F512,$C$2:C512,C512),"0000"))</f>
        <v/>
      </c>
      <c r="B512" s="13" t="n"/>
      <c r="C512" s="12">
        <f>IF(ISNUMBER(B512),YEAR(B512),"")</f>
        <v/>
      </c>
      <c r="D512" s="14" t="n"/>
      <c r="E512" s="14" t="n"/>
      <c r="F512" s="12">
        <f>IF(E512="","",IFERROR(VLOOKUP(E512,LISTAS!$A$2:$C$65,2,FALSE),"Revisar"))</f>
        <v/>
      </c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2">
        <f>IF(COUNTA(B512:B512)+COUNTA(D512:E512)+COUNTA(G512:AJ512)=0,"",IF(COUNTBLANK(B512:B512)+COUNTBLANK(D512:E512)+COUNTBLANK(G512:G512)+COUNTBLANK(O512:AJ512)&gt;0,"Faltan "&amp;(COUNTBLANK(B512:B512)+COUNTBLANK(D512:E512)+COUNTBLANK(G512:G512)+COUNTBLANK(O512:AJ512))&amp;" datos obligatorios",IF(NOT(ISNUMBER(B512)),"Fecha no válida",IF(N(B512)&gt;TODAY(),"Fecha futura",IF(IFERROR(VLOOKUP(E512,LISTAS!$A$2:$C$65,3,FALSE),"")&lt;&gt;D512,"La subregión no corresponde al municipio",IF(IF(L512="",FALSE,OR(L512&lt;0,L512&gt;110)),"Edad fuera de rango",IF((V512="Sí")+(W512="Sí")+(X512="Sí")+(Y512="Sí")=0,"Marque al menos un tipo de violencia","OK")))))))</f>
        <v/>
      </c>
    </row>
    <row r="513">
      <c r="A513" s="12">
        <f>IF(OR(F513="",F513="Revisar",C513=""),"",F513&amp;"-"&amp;C513&amp;"-"&amp;TEXT(COUNTIFS($F$2:F513,F513,$C$2:C513,C513),"0000"))</f>
        <v/>
      </c>
      <c r="B513" s="13" t="n"/>
      <c r="C513" s="12">
        <f>IF(ISNUMBER(B513),YEAR(B513),"")</f>
        <v/>
      </c>
      <c r="D513" s="14" t="n"/>
      <c r="E513" s="14" t="n"/>
      <c r="F513" s="12">
        <f>IF(E513="","",IFERROR(VLOOKUP(E513,LISTAS!$A$2:$C$65,2,FALSE),"Revisar"))</f>
        <v/>
      </c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2">
        <f>IF(COUNTA(B513:B513)+COUNTA(D513:E513)+COUNTA(G513:AJ513)=0,"",IF(COUNTBLANK(B513:B513)+COUNTBLANK(D513:E513)+COUNTBLANK(G513:G513)+COUNTBLANK(O513:AJ513)&gt;0,"Faltan "&amp;(COUNTBLANK(B513:B513)+COUNTBLANK(D513:E513)+COUNTBLANK(G513:G513)+COUNTBLANK(O513:AJ513))&amp;" datos obligatorios",IF(NOT(ISNUMBER(B513)),"Fecha no válida",IF(N(B513)&gt;TODAY(),"Fecha futura",IF(IFERROR(VLOOKUP(E513,LISTAS!$A$2:$C$65,3,FALSE),"")&lt;&gt;D513,"La subregión no corresponde al municipio",IF(IF(L513="",FALSE,OR(L513&lt;0,L513&gt;110)),"Edad fuera de rango",IF((V513="Sí")+(W513="Sí")+(X513="Sí")+(Y513="Sí")=0,"Marque al menos un tipo de violencia","OK")))))))</f>
        <v/>
      </c>
    </row>
    <row r="514">
      <c r="A514" s="12">
        <f>IF(OR(F514="",F514="Revisar",C514=""),"",F514&amp;"-"&amp;C514&amp;"-"&amp;TEXT(COUNTIFS($F$2:F514,F514,$C$2:C514,C514),"0000"))</f>
        <v/>
      </c>
      <c r="B514" s="13" t="n"/>
      <c r="C514" s="12">
        <f>IF(ISNUMBER(B514),YEAR(B514),"")</f>
        <v/>
      </c>
      <c r="D514" s="14" t="n"/>
      <c r="E514" s="14" t="n"/>
      <c r="F514" s="12">
        <f>IF(E514="","",IFERROR(VLOOKUP(E514,LISTAS!$A$2:$C$65,2,FALSE),"Revisar"))</f>
        <v/>
      </c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2">
        <f>IF(COUNTA(B514:B514)+COUNTA(D514:E514)+COUNTA(G514:AJ514)=0,"",IF(COUNTBLANK(B514:B514)+COUNTBLANK(D514:E514)+COUNTBLANK(G514:G514)+COUNTBLANK(O514:AJ514)&gt;0,"Faltan "&amp;(COUNTBLANK(B514:B514)+COUNTBLANK(D514:E514)+COUNTBLANK(G514:G514)+COUNTBLANK(O514:AJ514))&amp;" datos obligatorios",IF(NOT(ISNUMBER(B514)),"Fecha no válida",IF(N(B514)&gt;TODAY(),"Fecha futura",IF(IFERROR(VLOOKUP(E514,LISTAS!$A$2:$C$65,3,FALSE),"")&lt;&gt;D514,"La subregión no corresponde al municipio",IF(IF(L514="",FALSE,OR(L514&lt;0,L514&gt;110)),"Edad fuera de rango",IF((V514="Sí")+(W514="Sí")+(X514="Sí")+(Y514="Sí")=0,"Marque al menos un tipo de violencia","OK")))))))</f>
        <v/>
      </c>
    </row>
    <row r="515">
      <c r="A515" s="12">
        <f>IF(OR(F515="",F515="Revisar",C515=""),"",F515&amp;"-"&amp;C515&amp;"-"&amp;TEXT(COUNTIFS($F$2:F515,F515,$C$2:C515,C515),"0000"))</f>
        <v/>
      </c>
      <c r="B515" s="13" t="n"/>
      <c r="C515" s="12">
        <f>IF(ISNUMBER(B515),YEAR(B515),"")</f>
        <v/>
      </c>
      <c r="D515" s="14" t="n"/>
      <c r="E515" s="14" t="n"/>
      <c r="F515" s="12">
        <f>IF(E515="","",IFERROR(VLOOKUP(E515,LISTAS!$A$2:$C$65,2,FALSE),"Revisar"))</f>
        <v/>
      </c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2">
        <f>IF(COUNTA(B515:B515)+COUNTA(D515:E515)+COUNTA(G515:AJ515)=0,"",IF(COUNTBLANK(B515:B515)+COUNTBLANK(D515:E515)+COUNTBLANK(G515:G515)+COUNTBLANK(O515:AJ515)&gt;0,"Faltan "&amp;(COUNTBLANK(B515:B515)+COUNTBLANK(D515:E515)+COUNTBLANK(G515:G515)+COUNTBLANK(O515:AJ515))&amp;" datos obligatorios",IF(NOT(ISNUMBER(B515)),"Fecha no válida",IF(N(B515)&gt;TODAY(),"Fecha futura",IF(IFERROR(VLOOKUP(E515,LISTAS!$A$2:$C$65,3,FALSE),"")&lt;&gt;D515,"La subregión no corresponde al municipio",IF(IF(L515="",FALSE,OR(L515&lt;0,L515&gt;110)),"Edad fuera de rango",IF((V515="Sí")+(W515="Sí")+(X515="Sí")+(Y515="Sí")=0,"Marque al menos un tipo de violencia","OK")))))))</f>
        <v/>
      </c>
    </row>
    <row r="516">
      <c r="A516" s="12">
        <f>IF(OR(F516="",F516="Revisar",C516=""),"",F516&amp;"-"&amp;C516&amp;"-"&amp;TEXT(COUNTIFS($F$2:F516,F516,$C$2:C516,C516),"0000"))</f>
        <v/>
      </c>
      <c r="B516" s="13" t="n"/>
      <c r="C516" s="12">
        <f>IF(ISNUMBER(B516),YEAR(B516),"")</f>
        <v/>
      </c>
      <c r="D516" s="14" t="n"/>
      <c r="E516" s="14" t="n"/>
      <c r="F516" s="12">
        <f>IF(E516="","",IFERROR(VLOOKUP(E516,LISTAS!$A$2:$C$65,2,FALSE),"Revisar"))</f>
        <v/>
      </c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2">
        <f>IF(COUNTA(B516:B516)+COUNTA(D516:E516)+COUNTA(G516:AJ516)=0,"",IF(COUNTBLANK(B516:B516)+COUNTBLANK(D516:E516)+COUNTBLANK(G516:G516)+COUNTBLANK(O516:AJ516)&gt;0,"Faltan "&amp;(COUNTBLANK(B516:B516)+COUNTBLANK(D516:E516)+COUNTBLANK(G516:G516)+COUNTBLANK(O516:AJ516))&amp;" datos obligatorios",IF(NOT(ISNUMBER(B516)),"Fecha no válida",IF(N(B516)&gt;TODAY(),"Fecha futura",IF(IFERROR(VLOOKUP(E516,LISTAS!$A$2:$C$65,3,FALSE),"")&lt;&gt;D516,"La subregión no corresponde al municipio",IF(IF(L516="",FALSE,OR(L516&lt;0,L516&gt;110)),"Edad fuera de rango",IF((V516="Sí")+(W516="Sí")+(X516="Sí")+(Y516="Sí")=0,"Marque al menos un tipo de violencia","OK")))))))</f>
        <v/>
      </c>
    </row>
    <row r="517">
      <c r="A517" s="12">
        <f>IF(OR(F517="",F517="Revisar",C517=""),"",F517&amp;"-"&amp;C517&amp;"-"&amp;TEXT(COUNTIFS($F$2:F517,F517,$C$2:C517,C517),"0000"))</f>
        <v/>
      </c>
      <c r="B517" s="13" t="n"/>
      <c r="C517" s="12">
        <f>IF(ISNUMBER(B517),YEAR(B517),"")</f>
        <v/>
      </c>
      <c r="D517" s="14" t="n"/>
      <c r="E517" s="14" t="n"/>
      <c r="F517" s="12">
        <f>IF(E517="","",IFERROR(VLOOKUP(E517,LISTAS!$A$2:$C$65,2,FALSE),"Revisar"))</f>
        <v/>
      </c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2">
        <f>IF(COUNTA(B517:B517)+COUNTA(D517:E517)+COUNTA(G517:AJ517)=0,"",IF(COUNTBLANK(B517:B517)+COUNTBLANK(D517:E517)+COUNTBLANK(G517:G517)+COUNTBLANK(O517:AJ517)&gt;0,"Faltan "&amp;(COUNTBLANK(B517:B517)+COUNTBLANK(D517:E517)+COUNTBLANK(G517:G517)+COUNTBLANK(O517:AJ517))&amp;" datos obligatorios",IF(NOT(ISNUMBER(B517)),"Fecha no válida",IF(N(B517)&gt;TODAY(),"Fecha futura",IF(IFERROR(VLOOKUP(E517,LISTAS!$A$2:$C$65,3,FALSE),"")&lt;&gt;D517,"La subregión no corresponde al municipio",IF(IF(L517="",FALSE,OR(L517&lt;0,L517&gt;110)),"Edad fuera de rango",IF((V517="Sí")+(W517="Sí")+(X517="Sí")+(Y517="Sí")=0,"Marque al menos un tipo de violencia","OK")))))))</f>
        <v/>
      </c>
    </row>
    <row r="518">
      <c r="A518" s="12">
        <f>IF(OR(F518="",F518="Revisar",C518=""),"",F518&amp;"-"&amp;C518&amp;"-"&amp;TEXT(COUNTIFS($F$2:F518,F518,$C$2:C518,C518),"0000"))</f>
        <v/>
      </c>
      <c r="B518" s="13" t="n"/>
      <c r="C518" s="12">
        <f>IF(ISNUMBER(B518),YEAR(B518),"")</f>
        <v/>
      </c>
      <c r="D518" s="14" t="n"/>
      <c r="E518" s="14" t="n"/>
      <c r="F518" s="12">
        <f>IF(E518="","",IFERROR(VLOOKUP(E518,LISTAS!$A$2:$C$65,2,FALSE),"Revisar"))</f>
        <v/>
      </c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2">
        <f>IF(COUNTA(B518:B518)+COUNTA(D518:E518)+COUNTA(G518:AJ518)=0,"",IF(COUNTBLANK(B518:B518)+COUNTBLANK(D518:E518)+COUNTBLANK(G518:G518)+COUNTBLANK(O518:AJ518)&gt;0,"Faltan "&amp;(COUNTBLANK(B518:B518)+COUNTBLANK(D518:E518)+COUNTBLANK(G518:G518)+COUNTBLANK(O518:AJ518))&amp;" datos obligatorios",IF(NOT(ISNUMBER(B518)),"Fecha no válida",IF(N(B518)&gt;TODAY(),"Fecha futura",IF(IFERROR(VLOOKUP(E518,LISTAS!$A$2:$C$65,3,FALSE),"")&lt;&gt;D518,"La subregión no corresponde al municipio",IF(IF(L518="",FALSE,OR(L518&lt;0,L518&gt;110)),"Edad fuera de rango",IF((V518="Sí")+(W518="Sí")+(X518="Sí")+(Y518="Sí")=0,"Marque al menos un tipo de violencia","OK")))))))</f>
        <v/>
      </c>
    </row>
    <row r="519">
      <c r="A519" s="12">
        <f>IF(OR(F519="",F519="Revisar",C519=""),"",F519&amp;"-"&amp;C519&amp;"-"&amp;TEXT(COUNTIFS($F$2:F519,F519,$C$2:C519,C519),"0000"))</f>
        <v/>
      </c>
      <c r="B519" s="13" t="n"/>
      <c r="C519" s="12">
        <f>IF(ISNUMBER(B519),YEAR(B519),"")</f>
        <v/>
      </c>
      <c r="D519" s="14" t="n"/>
      <c r="E519" s="14" t="n"/>
      <c r="F519" s="12">
        <f>IF(E519="","",IFERROR(VLOOKUP(E519,LISTAS!$A$2:$C$65,2,FALSE),"Revisar"))</f>
        <v/>
      </c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2">
        <f>IF(COUNTA(B519:B519)+COUNTA(D519:E519)+COUNTA(G519:AJ519)=0,"",IF(COUNTBLANK(B519:B519)+COUNTBLANK(D519:E519)+COUNTBLANK(G519:G519)+COUNTBLANK(O519:AJ519)&gt;0,"Faltan "&amp;(COUNTBLANK(B519:B519)+COUNTBLANK(D519:E519)+COUNTBLANK(G519:G519)+COUNTBLANK(O519:AJ519))&amp;" datos obligatorios",IF(NOT(ISNUMBER(B519)),"Fecha no válida",IF(N(B519)&gt;TODAY(),"Fecha futura",IF(IFERROR(VLOOKUP(E519,LISTAS!$A$2:$C$65,3,FALSE),"")&lt;&gt;D519,"La subregión no corresponde al municipio",IF(IF(L519="",FALSE,OR(L519&lt;0,L519&gt;110)),"Edad fuera de rango",IF((V519="Sí")+(W519="Sí")+(X519="Sí")+(Y519="Sí")=0,"Marque al menos un tipo de violencia","OK")))))))</f>
        <v/>
      </c>
    </row>
    <row r="520">
      <c r="A520" s="12">
        <f>IF(OR(F520="",F520="Revisar",C520=""),"",F520&amp;"-"&amp;C520&amp;"-"&amp;TEXT(COUNTIFS($F$2:F520,F520,$C$2:C520,C520),"0000"))</f>
        <v/>
      </c>
      <c r="B520" s="13" t="n"/>
      <c r="C520" s="12">
        <f>IF(ISNUMBER(B520),YEAR(B520),"")</f>
        <v/>
      </c>
      <c r="D520" s="14" t="n"/>
      <c r="E520" s="14" t="n"/>
      <c r="F520" s="12">
        <f>IF(E520="","",IFERROR(VLOOKUP(E520,LISTAS!$A$2:$C$65,2,FALSE),"Revisar"))</f>
        <v/>
      </c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2">
        <f>IF(COUNTA(B520:B520)+COUNTA(D520:E520)+COUNTA(G520:AJ520)=0,"",IF(COUNTBLANK(B520:B520)+COUNTBLANK(D520:E520)+COUNTBLANK(G520:G520)+COUNTBLANK(O520:AJ520)&gt;0,"Faltan "&amp;(COUNTBLANK(B520:B520)+COUNTBLANK(D520:E520)+COUNTBLANK(G520:G520)+COUNTBLANK(O520:AJ520))&amp;" datos obligatorios",IF(NOT(ISNUMBER(B520)),"Fecha no válida",IF(N(B520)&gt;TODAY(),"Fecha futura",IF(IFERROR(VLOOKUP(E520,LISTAS!$A$2:$C$65,3,FALSE),"")&lt;&gt;D520,"La subregión no corresponde al municipio",IF(IF(L520="",FALSE,OR(L520&lt;0,L520&gt;110)),"Edad fuera de rango",IF((V520="Sí")+(W520="Sí")+(X520="Sí")+(Y520="Sí")=0,"Marque al menos un tipo de violencia","OK")))))))</f>
        <v/>
      </c>
    </row>
    <row r="521">
      <c r="A521" s="12">
        <f>IF(OR(F521="",F521="Revisar",C521=""),"",F521&amp;"-"&amp;C521&amp;"-"&amp;TEXT(COUNTIFS($F$2:F521,F521,$C$2:C521,C521),"0000"))</f>
        <v/>
      </c>
      <c r="B521" s="13" t="n"/>
      <c r="C521" s="12">
        <f>IF(ISNUMBER(B521),YEAR(B521),"")</f>
        <v/>
      </c>
      <c r="D521" s="14" t="n"/>
      <c r="E521" s="14" t="n"/>
      <c r="F521" s="12">
        <f>IF(E521="","",IFERROR(VLOOKUP(E521,LISTAS!$A$2:$C$65,2,FALSE),"Revisar"))</f>
        <v/>
      </c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2">
        <f>IF(COUNTA(B521:B521)+COUNTA(D521:E521)+COUNTA(G521:AJ521)=0,"",IF(COUNTBLANK(B521:B521)+COUNTBLANK(D521:E521)+COUNTBLANK(G521:G521)+COUNTBLANK(O521:AJ521)&gt;0,"Faltan "&amp;(COUNTBLANK(B521:B521)+COUNTBLANK(D521:E521)+COUNTBLANK(G521:G521)+COUNTBLANK(O521:AJ521))&amp;" datos obligatorios",IF(NOT(ISNUMBER(B521)),"Fecha no válida",IF(N(B521)&gt;TODAY(),"Fecha futura",IF(IFERROR(VLOOKUP(E521,LISTAS!$A$2:$C$65,3,FALSE),"")&lt;&gt;D521,"La subregión no corresponde al municipio",IF(IF(L521="",FALSE,OR(L521&lt;0,L521&gt;110)),"Edad fuera de rango",IF((V521="Sí")+(W521="Sí")+(X521="Sí")+(Y521="Sí")=0,"Marque al menos un tipo de violencia","OK")))))))</f>
        <v/>
      </c>
    </row>
    <row r="522">
      <c r="A522" s="12">
        <f>IF(OR(F522="",F522="Revisar",C522=""),"",F522&amp;"-"&amp;C522&amp;"-"&amp;TEXT(COUNTIFS($F$2:F522,F522,$C$2:C522,C522),"0000"))</f>
        <v/>
      </c>
      <c r="B522" s="13" t="n"/>
      <c r="C522" s="12">
        <f>IF(ISNUMBER(B522),YEAR(B522),"")</f>
        <v/>
      </c>
      <c r="D522" s="14" t="n"/>
      <c r="E522" s="14" t="n"/>
      <c r="F522" s="12">
        <f>IF(E522="","",IFERROR(VLOOKUP(E522,LISTAS!$A$2:$C$65,2,FALSE),"Revisar"))</f>
        <v/>
      </c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2">
        <f>IF(COUNTA(B522:B522)+COUNTA(D522:E522)+COUNTA(G522:AJ522)=0,"",IF(COUNTBLANK(B522:B522)+COUNTBLANK(D522:E522)+COUNTBLANK(G522:G522)+COUNTBLANK(O522:AJ522)&gt;0,"Faltan "&amp;(COUNTBLANK(B522:B522)+COUNTBLANK(D522:E522)+COUNTBLANK(G522:G522)+COUNTBLANK(O522:AJ522))&amp;" datos obligatorios",IF(NOT(ISNUMBER(B522)),"Fecha no válida",IF(N(B522)&gt;TODAY(),"Fecha futura",IF(IFERROR(VLOOKUP(E522,LISTAS!$A$2:$C$65,3,FALSE),"")&lt;&gt;D522,"La subregión no corresponde al municipio",IF(IF(L522="",FALSE,OR(L522&lt;0,L522&gt;110)),"Edad fuera de rango",IF((V522="Sí")+(W522="Sí")+(X522="Sí")+(Y522="Sí")=0,"Marque al menos un tipo de violencia","OK")))))))</f>
        <v/>
      </c>
    </row>
    <row r="523">
      <c r="A523" s="12">
        <f>IF(OR(F523="",F523="Revisar",C523=""),"",F523&amp;"-"&amp;C523&amp;"-"&amp;TEXT(COUNTIFS($F$2:F523,F523,$C$2:C523,C523),"0000"))</f>
        <v/>
      </c>
      <c r="B523" s="13" t="n"/>
      <c r="C523" s="12">
        <f>IF(ISNUMBER(B523),YEAR(B523),"")</f>
        <v/>
      </c>
      <c r="D523" s="14" t="n"/>
      <c r="E523" s="14" t="n"/>
      <c r="F523" s="12">
        <f>IF(E523="","",IFERROR(VLOOKUP(E523,LISTAS!$A$2:$C$65,2,FALSE),"Revisar"))</f>
        <v/>
      </c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2">
        <f>IF(COUNTA(B523:B523)+COUNTA(D523:E523)+COUNTA(G523:AJ523)=0,"",IF(COUNTBLANK(B523:B523)+COUNTBLANK(D523:E523)+COUNTBLANK(G523:G523)+COUNTBLANK(O523:AJ523)&gt;0,"Faltan "&amp;(COUNTBLANK(B523:B523)+COUNTBLANK(D523:E523)+COUNTBLANK(G523:G523)+COUNTBLANK(O523:AJ523))&amp;" datos obligatorios",IF(NOT(ISNUMBER(B523)),"Fecha no válida",IF(N(B523)&gt;TODAY(),"Fecha futura",IF(IFERROR(VLOOKUP(E523,LISTAS!$A$2:$C$65,3,FALSE),"")&lt;&gt;D523,"La subregión no corresponde al municipio",IF(IF(L523="",FALSE,OR(L523&lt;0,L523&gt;110)),"Edad fuera de rango",IF((V523="Sí")+(W523="Sí")+(X523="Sí")+(Y523="Sí")=0,"Marque al menos un tipo de violencia","OK")))))))</f>
        <v/>
      </c>
    </row>
    <row r="524">
      <c r="A524" s="12">
        <f>IF(OR(F524="",F524="Revisar",C524=""),"",F524&amp;"-"&amp;C524&amp;"-"&amp;TEXT(COUNTIFS($F$2:F524,F524,$C$2:C524,C524),"0000"))</f>
        <v/>
      </c>
      <c r="B524" s="13" t="n"/>
      <c r="C524" s="12">
        <f>IF(ISNUMBER(B524),YEAR(B524),"")</f>
        <v/>
      </c>
      <c r="D524" s="14" t="n"/>
      <c r="E524" s="14" t="n"/>
      <c r="F524" s="12">
        <f>IF(E524="","",IFERROR(VLOOKUP(E524,LISTAS!$A$2:$C$65,2,FALSE),"Revisar"))</f>
        <v/>
      </c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2">
        <f>IF(COUNTA(B524:B524)+COUNTA(D524:E524)+COUNTA(G524:AJ524)=0,"",IF(COUNTBLANK(B524:B524)+COUNTBLANK(D524:E524)+COUNTBLANK(G524:G524)+COUNTBLANK(O524:AJ524)&gt;0,"Faltan "&amp;(COUNTBLANK(B524:B524)+COUNTBLANK(D524:E524)+COUNTBLANK(G524:G524)+COUNTBLANK(O524:AJ524))&amp;" datos obligatorios",IF(NOT(ISNUMBER(B524)),"Fecha no válida",IF(N(B524)&gt;TODAY(),"Fecha futura",IF(IFERROR(VLOOKUP(E524,LISTAS!$A$2:$C$65,3,FALSE),"")&lt;&gt;D524,"La subregión no corresponde al municipio",IF(IF(L524="",FALSE,OR(L524&lt;0,L524&gt;110)),"Edad fuera de rango",IF((V524="Sí")+(W524="Sí")+(X524="Sí")+(Y524="Sí")=0,"Marque al menos un tipo de violencia","OK")))))))</f>
        <v/>
      </c>
    </row>
    <row r="525">
      <c r="A525" s="12">
        <f>IF(OR(F525="",F525="Revisar",C525=""),"",F525&amp;"-"&amp;C525&amp;"-"&amp;TEXT(COUNTIFS($F$2:F525,F525,$C$2:C525,C525),"0000"))</f>
        <v/>
      </c>
      <c r="B525" s="13" t="n"/>
      <c r="C525" s="12">
        <f>IF(ISNUMBER(B525),YEAR(B525),"")</f>
        <v/>
      </c>
      <c r="D525" s="14" t="n"/>
      <c r="E525" s="14" t="n"/>
      <c r="F525" s="12">
        <f>IF(E525="","",IFERROR(VLOOKUP(E525,LISTAS!$A$2:$C$65,2,FALSE),"Revisar"))</f>
        <v/>
      </c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2">
        <f>IF(COUNTA(B525:B525)+COUNTA(D525:E525)+COUNTA(G525:AJ525)=0,"",IF(COUNTBLANK(B525:B525)+COUNTBLANK(D525:E525)+COUNTBLANK(G525:G525)+COUNTBLANK(O525:AJ525)&gt;0,"Faltan "&amp;(COUNTBLANK(B525:B525)+COUNTBLANK(D525:E525)+COUNTBLANK(G525:G525)+COUNTBLANK(O525:AJ525))&amp;" datos obligatorios",IF(NOT(ISNUMBER(B525)),"Fecha no válida",IF(N(B525)&gt;TODAY(),"Fecha futura",IF(IFERROR(VLOOKUP(E525,LISTAS!$A$2:$C$65,3,FALSE),"")&lt;&gt;D525,"La subregión no corresponde al municipio",IF(IF(L525="",FALSE,OR(L525&lt;0,L525&gt;110)),"Edad fuera de rango",IF((V525="Sí")+(W525="Sí")+(X525="Sí")+(Y525="Sí")=0,"Marque al menos un tipo de violencia","OK")))))))</f>
        <v/>
      </c>
    </row>
    <row r="526">
      <c r="A526" s="12">
        <f>IF(OR(F526="",F526="Revisar",C526=""),"",F526&amp;"-"&amp;C526&amp;"-"&amp;TEXT(COUNTIFS($F$2:F526,F526,$C$2:C526,C526),"0000"))</f>
        <v/>
      </c>
      <c r="B526" s="13" t="n"/>
      <c r="C526" s="12">
        <f>IF(ISNUMBER(B526),YEAR(B526),"")</f>
        <v/>
      </c>
      <c r="D526" s="14" t="n"/>
      <c r="E526" s="14" t="n"/>
      <c r="F526" s="12">
        <f>IF(E526="","",IFERROR(VLOOKUP(E526,LISTAS!$A$2:$C$65,2,FALSE),"Revisar"))</f>
        <v/>
      </c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2">
        <f>IF(COUNTA(B526:B526)+COUNTA(D526:E526)+COUNTA(G526:AJ526)=0,"",IF(COUNTBLANK(B526:B526)+COUNTBLANK(D526:E526)+COUNTBLANK(G526:G526)+COUNTBLANK(O526:AJ526)&gt;0,"Faltan "&amp;(COUNTBLANK(B526:B526)+COUNTBLANK(D526:E526)+COUNTBLANK(G526:G526)+COUNTBLANK(O526:AJ526))&amp;" datos obligatorios",IF(NOT(ISNUMBER(B526)),"Fecha no válida",IF(N(B526)&gt;TODAY(),"Fecha futura",IF(IFERROR(VLOOKUP(E526,LISTAS!$A$2:$C$65,3,FALSE),"")&lt;&gt;D526,"La subregión no corresponde al municipio",IF(IF(L526="",FALSE,OR(L526&lt;0,L526&gt;110)),"Edad fuera de rango",IF((V526="Sí")+(W526="Sí")+(X526="Sí")+(Y526="Sí")=0,"Marque al menos un tipo de violencia","OK")))))))</f>
        <v/>
      </c>
    </row>
    <row r="527">
      <c r="A527" s="12">
        <f>IF(OR(F527="",F527="Revisar",C527=""),"",F527&amp;"-"&amp;C527&amp;"-"&amp;TEXT(COUNTIFS($F$2:F527,F527,$C$2:C527,C527),"0000"))</f>
        <v/>
      </c>
      <c r="B527" s="13" t="n"/>
      <c r="C527" s="12">
        <f>IF(ISNUMBER(B527),YEAR(B527),"")</f>
        <v/>
      </c>
      <c r="D527" s="14" t="n"/>
      <c r="E527" s="14" t="n"/>
      <c r="F527" s="12">
        <f>IF(E527="","",IFERROR(VLOOKUP(E527,LISTAS!$A$2:$C$65,2,FALSE),"Revisar"))</f>
        <v/>
      </c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2">
        <f>IF(COUNTA(B527:B527)+COUNTA(D527:E527)+COUNTA(G527:AJ527)=0,"",IF(COUNTBLANK(B527:B527)+COUNTBLANK(D527:E527)+COUNTBLANK(G527:G527)+COUNTBLANK(O527:AJ527)&gt;0,"Faltan "&amp;(COUNTBLANK(B527:B527)+COUNTBLANK(D527:E527)+COUNTBLANK(G527:G527)+COUNTBLANK(O527:AJ527))&amp;" datos obligatorios",IF(NOT(ISNUMBER(B527)),"Fecha no válida",IF(N(B527)&gt;TODAY(),"Fecha futura",IF(IFERROR(VLOOKUP(E527,LISTAS!$A$2:$C$65,3,FALSE),"")&lt;&gt;D527,"La subregión no corresponde al municipio",IF(IF(L527="",FALSE,OR(L527&lt;0,L527&gt;110)),"Edad fuera de rango",IF((V527="Sí")+(W527="Sí")+(X527="Sí")+(Y527="Sí")=0,"Marque al menos un tipo de violencia","OK")))))))</f>
        <v/>
      </c>
    </row>
    <row r="528">
      <c r="A528" s="12">
        <f>IF(OR(F528="",F528="Revisar",C528=""),"",F528&amp;"-"&amp;C528&amp;"-"&amp;TEXT(COUNTIFS($F$2:F528,F528,$C$2:C528,C528),"0000"))</f>
        <v/>
      </c>
      <c r="B528" s="13" t="n"/>
      <c r="C528" s="12">
        <f>IF(ISNUMBER(B528),YEAR(B528),"")</f>
        <v/>
      </c>
      <c r="D528" s="14" t="n"/>
      <c r="E528" s="14" t="n"/>
      <c r="F528" s="12">
        <f>IF(E528="","",IFERROR(VLOOKUP(E528,LISTAS!$A$2:$C$65,2,FALSE),"Revisar"))</f>
        <v/>
      </c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2">
        <f>IF(COUNTA(B528:B528)+COUNTA(D528:E528)+COUNTA(G528:AJ528)=0,"",IF(COUNTBLANK(B528:B528)+COUNTBLANK(D528:E528)+COUNTBLANK(G528:G528)+COUNTBLANK(O528:AJ528)&gt;0,"Faltan "&amp;(COUNTBLANK(B528:B528)+COUNTBLANK(D528:E528)+COUNTBLANK(G528:G528)+COUNTBLANK(O528:AJ528))&amp;" datos obligatorios",IF(NOT(ISNUMBER(B528)),"Fecha no válida",IF(N(B528)&gt;TODAY(),"Fecha futura",IF(IFERROR(VLOOKUP(E528,LISTAS!$A$2:$C$65,3,FALSE),"")&lt;&gt;D528,"La subregión no corresponde al municipio",IF(IF(L528="",FALSE,OR(L528&lt;0,L528&gt;110)),"Edad fuera de rango",IF((V528="Sí")+(W528="Sí")+(X528="Sí")+(Y528="Sí")=0,"Marque al menos un tipo de violencia","OK")))))))</f>
        <v/>
      </c>
    </row>
    <row r="529">
      <c r="A529" s="12">
        <f>IF(OR(F529="",F529="Revisar",C529=""),"",F529&amp;"-"&amp;C529&amp;"-"&amp;TEXT(COUNTIFS($F$2:F529,F529,$C$2:C529,C529),"0000"))</f>
        <v/>
      </c>
      <c r="B529" s="13" t="n"/>
      <c r="C529" s="12">
        <f>IF(ISNUMBER(B529),YEAR(B529),"")</f>
        <v/>
      </c>
      <c r="D529" s="14" t="n"/>
      <c r="E529" s="14" t="n"/>
      <c r="F529" s="12">
        <f>IF(E529="","",IFERROR(VLOOKUP(E529,LISTAS!$A$2:$C$65,2,FALSE),"Revisar"))</f>
        <v/>
      </c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2">
        <f>IF(COUNTA(B529:B529)+COUNTA(D529:E529)+COUNTA(G529:AJ529)=0,"",IF(COUNTBLANK(B529:B529)+COUNTBLANK(D529:E529)+COUNTBLANK(G529:G529)+COUNTBLANK(O529:AJ529)&gt;0,"Faltan "&amp;(COUNTBLANK(B529:B529)+COUNTBLANK(D529:E529)+COUNTBLANK(G529:G529)+COUNTBLANK(O529:AJ529))&amp;" datos obligatorios",IF(NOT(ISNUMBER(B529)),"Fecha no válida",IF(N(B529)&gt;TODAY(),"Fecha futura",IF(IFERROR(VLOOKUP(E529,LISTAS!$A$2:$C$65,3,FALSE),"")&lt;&gt;D529,"La subregión no corresponde al municipio",IF(IF(L529="",FALSE,OR(L529&lt;0,L529&gt;110)),"Edad fuera de rango",IF((V529="Sí")+(W529="Sí")+(X529="Sí")+(Y529="Sí")=0,"Marque al menos un tipo de violencia","OK")))))))</f>
        <v/>
      </c>
    </row>
    <row r="530">
      <c r="A530" s="12">
        <f>IF(OR(F530="",F530="Revisar",C530=""),"",F530&amp;"-"&amp;C530&amp;"-"&amp;TEXT(COUNTIFS($F$2:F530,F530,$C$2:C530,C530),"0000"))</f>
        <v/>
      </c>
      <c r="B530" s="13" t="n"/>
      <c r="C530" s="12">
        <f>IF(ISNUMBER(B530),YEAR(B530),"")</f>
        <v/>
      </c>
      <c r="D530" s="14" t="n"/>
      <c r="E530" s="14" t="n"/>
      <c r="F530" s="12">
        <f>IF(E530="","",IFERROR(VLOOKUP(E530,LISTAS!$A$2:$C$65,2,FALSE),"Revisar"))</f>
        <v/>
      </c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2">
        <f>IF(COUNTA(B530:B530)+COUNTA(D530:E530)+COUNTA(G530:AJ530)=0,"",IF(COUNTBLANK(B530:B530)+COUNTBLANK(D530:E530)+COUNTBLANK(G530:G530)+COUNTBLANK(O530:AJ530)&gt;0,"Faltan "&amp;(COUNTBLANK(B530:B530)+COUNTBLANK(D530:E530)+COUNTBLANK(G530:G530)+COUNTBLANK(O530:AJ530))&amp;" datos obligatorios",IF(NOT(ISNUMBER(B530)),"Fecha no válida",IF(N(B530)&gt;TODAY(),"Fecha futura",IF(IFERROR(VLOOKUP(E530,LISTAS!$A$2:$C$65,3,FALSE),"")&lt;&gt;D530,"La subregión no corresponde al municipio",IF(IF(L530="",FALSE,OR(L530&lt;0,L530&gt;110)),"Edad fuera de rango",IF((V530="Sí")+(W530="Sí")+(X530="Sí")+(Y530="Sí")=0,"Marque al menos un tipo de violencia","OK")))))))</f>
        <v/>
      </c>
    </row>
    <row r="531">
      <c r="A531" s="12">
        <f>IF(OR(F531="",F531="Revisar",C531=""),"",F531&amp;"-"&amp;C531&amp;"-"&amp;TEXT(COUNTIFS($F$2:F531,F531,$C$2:C531,C531),"0000"))</f>
        <v/>
      </c>
      <c r="B531" s="13" t="n"/>
      <c r="C531" s="12">
        <f>IF(ISNUMBER(B531),YEAR(B531),"")</f>
        <v/>
      </c>
      <c r="D531" s="14" t="n"/>
      <c r="E531" s="14" t="n"/>
      <c r="F531" s="12">
        <f>IF(E531="","",IFERROR(VLOOKUP(E531,LISTAS!$A$2:$C$65,2,FALSE),"Revisar"))</f>
        <v/>
      </c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2">
        <f>IF(COUNTA(B531:B531)+COUNTA(D531:E531)+COUNTA(G531:AJ531)=0,"",IF(COUNTBLANK(B531:B531)+COUNTBLANK(D531:E531)+COUNTBLANK(G531:G531)+COUNTBLANK(O531:AJ531)&gt;0,"Faltan "&amp;(COUNTBLANK(B531:B531)+COUNTBLANK(D531:E531)+COUNTBLANK(G531:G531)+COUNTBLANK(O531:AJ531))&amp;" datos obligatorios",IF(NOT(ISNUMBER(B531)),"Fecha no válida",IF(N(B531)&gt;TODAY(),"Fecha futura",IF(IFERROR(VLOOKUP(E531,LISTAS!$A$2:$C$65,3,FALSE),"")&lt;&gt;D531,"La subregión no corresponde al municipio",IF(IF(L531="",FALSE,OR(L531&lt;0,L531&gt;110)),"Edad fuera de rango",IF((V531="Sí")+(W531="Sí")+(X531="Sí")+(Y531="Sí")=0,"Marque al menos un tipo de violencia","OK")))))))</f>
        <v/>
      </c>
    </row>
    <row r="532">
      <c r="A532" s="12">
        <f>IF(OR(F532="",F532="Revisar",C532=""),"",F532&amp;"-"&amp;C532&amp;"-"&amp;TEXT(COUNTIFS($F$2:F532,F532,$C$2:C532,C532),"0000"))</f>
        <v/>
      </c>
      <c r="B532" s="13" t="n"/>
      <c r="C532" s="12">
        <f>IF(ISNUMBER(B532),YEAR(B532),"")</f>
        <v/>
      </c>
      <c r="D532" s="14" t="n"/>
      <c r="E532" s="14" t="n"/>
      <c r="F532" s="12">
        <f>IF(E532="","",IFERROR(VLOOKUP(E532,LISTAS!$A$2:$C$65,2,FALSE),"Revisar"))</f>
        <v/>
      </c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2">
        <f>IF(COUNTA(B532:B532)+COUNTA(D532:E532)+COUNTA(G532:AJ532)=0,"",IF(COUNTBLANK(B532:B532)+COUNTBLANK(D532:E532)+COUNTBLANK(G532:G532)+COUNTBLANK(O532:AJ532)&gt;0,"Faltan "&amp;(COUNTBLANK(B532:B532)+COUNTBLANK(D532:E532)+COUNTBLANK(G532:G532)+COUNTBLANK(O532:AJ532))&amp;" datos obligatorios",IF(NOT(ISNUMBER(B532)),"Fecha no válida",IF(N(B532)&gt;TODAY(),"Fecha futura",IF(IFERROR(VLOOKUP(E532,LISTAS!$A$2:$C$65,3,FALSE),"")&lt;&gt;D532,"La subregión no corresponde al municipio",IF(IF(L532="",FALSE,OR(L532&lt;0,L532&gt;110)),"Edad fuera de rango",IF((V532="Sí")+(W532="Sí")+(X532="Sí")+(Y532="Sí")=0,"Marque al menos un tipo de violencia","OK")))))))</f>
        <v/>
      </c>
    </row>
    <row r="533">
      <c r="A533" s="12">
        <f>IF(OR(F533="",F533="Revisar",C533=""),"",F533&amp;"-"&amp;C533&amp;"-"&amp;TEXT(COUNTIFS($F$2:F533,F533,$C$2:C533,C533),"0000"))</f>
        <v/>
      </c>
      <c r="B533" s="13" t="n"/>
      <c r="C533" s="12">
        <f>IF(ISNUMBER(B533),YEAR(B533),"")</f>
        <v/>
      </c>
      <c r="D533" s="14" t="n"/>
      <c r="E533" s="14" t="n"/>
      <c r="F533" s="12">
        <f>IF(E533="","",IFERROR(VLOOKUP(E533,LISTAS!$A$2:$C$65,2,FALSE),"Revisar"))</f>
        <v/>
      </c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2">
        <f>IF(COUNTA(B533:B533)+COUNTA(D533:E533)+COUNTA(G533:AJ533)=0,"",IF(COUNTBLANK(B533:B533)+COUNTBLANK(D533:E533)+COUNTBLANK(G533:G533)+COUNTBLANK(O533:AJ533)&gt;0,"Faltan "&amp;(COUNTBLANK(B533:B533)+COUNTBLANK(D533:E533)+COUNTBLANK(G533:G533)+COUNTBLANK(O533:AJ533))&amp;" datos obligatorios",IF(NOT(ISNUMBER(B533)),"Fecha no válida",IF(N(B533)&gt;TODAY(),"Fecha futura",IF(IFERROR(VLOOKUP(E533,LISTAS!$A$2:$C$65,3,FALSE),"")&lt;&gt;D533,"La subregión no corresponde al municipio",IF(IF(L533="",FALSE,OR(L533&lt;0,L533&gt;110)),"Edad fuera de rango",IF((V533="Sí")+(W533="Sí")+(X533="Sí")+(Y533="Sí")=0,"Marque al menos un tipo de violencia","OK")))))))</f>
        <v/>
      </c>
    </row>
    <row r="534">
      <c r="A534" s="12">
        <f>IF(OR(F534="",F534="Revisar",C534=""),"",F534&amp;"-"&amp;C534&amp;"-"&amp;TEXT(COUNTIFS($F$2:F534,F534,$C$2:C534,C534),"0000"))</f>
        <v/>
      </c>
      <c r="B534" s="13" t="n"/>
      <c r="C534" s="12">
        <f>IF(ISNUMBER(B534),YEAR(B534),"")</f>
        <v/>
      </c>
      <c r="D534" s="14" t="n"/>
      <c r="E534" s="14" t="n"/>
      <c r="F534" s="12">
        <f>IF(E534="","",IFERROR(VLOOKUP(E534,LISTAS!$A$2:$C$65,2,FALSE),"Revisar"))</f>
        <v/>
      </c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2">
        <f>IF(COUNTA(B534:B534)+COUNTA(D534:E534)+COUNTA(G534:AJ534)=0,"",IF(COUNTBLANK(B534:B534)+COUNTBLANK(D534:E534)+COUNTBLANK(G534:G534)+COUNTBLANK(O534:AJ534)&gt;0,"Faltan "&amp;(COUNTBLANK(B534:B534)+COUNTBLANK(D534:E534)+COUNTBLANK(G534:G534)+COUNTBLANK(O534:AJ534))&amp;" datos obligatorios",IF(NOT(ISNUMBER(B534)),"Fecha no válida",IF(N(B534)&gt;TODAY(),"Fecha futura",IF(IFERROR(VLOOKUP(E534,LISTAS!$A$2:$C$65,3,FALSE),"")&lt;&gt;D534,"La subregión no corresponde al municipio",IF(IF(L534="",FALSE,OR(L534&lt;0,L534&gt;110)),"Edad fuera de rango",IF((V534="Sí")+(W534="Sí")+(X534="Sí")+(Y534="Sí")=0,"Marque al menos un tipo de violencia","OK")))))))</f>
        <v/>
      </c>
    </row>
    <row r="535">
      <c r="A535" s="12">
        <f>IF(OR(F535="",F535="Revisar",C535=""),"",F535&amp;"-"&amp;C535&amp;"-"&amp;TEXT(COUNTIFS($F$2:F535,F535,$C$2:C535,C535),"0000"))</f>
        <v/>
      </c>
      <c r="B535" s="13" t="n"/>
      <c r="C535" s="12">
        <f>IF(ISNUMBER(B535),YEAR(B535),"")</f>
        <v/>
      </c>
      <c r="D535" s="14" t="n"/>
      <c r="E535" s="14" t="n"/>
      <c r="F535" s="12">
        <f>IF(E535="","",IFERROR(VLOOKUP(E535,LISTAS!$A$2:$C$65,2,FALSE),"Revisar"))</f>
        <v/>
      </c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2">
        <f>IF(COUNTA(B535:B535)+COUNTA(D535:E535)+COUNTA(G535:AJ535)=0,"",IF(COUNTBLANK(B535:B535)+COUNTBLANK(D535:E535)+COUNTBLANK(G535:G535)+COUNTBLANK(O535:AJ535)&gt;0,"Faltan "&amp;(COUNTBLANK(B535:B535)+COUNTBLANK(D535:E535)+COUNTBLANK(G535:G535)+COUNTBLANK(O535:AJ535))&amp;" datos obligatorios",IF(NOT(ISNUMBER(B535)),"Fecha no válida",IF(N(B535)&gt;TODAY(),"Fecha futura",IF(IFERROR(VLOOKUP(E535,LISTAS!$A$2:$C$65,3,FALSE),"")&lt;&gt;D535,"La subregión no corresponde al municipio",IF(IF(L535="",FALSE,OR(L535&lt;0,L535&gt;110)),"Edad fuera de rango",IF((V535="Sí")+(W535="Sí")+(X535="Sí")+(Y535="Sí")=0,"Marque al menos un tipo de violencia","OK")))))))</f>
        <v/>
      </c>
    </row>
    <row r="536">
      <c r="A536" s="12">
        <f>IF(OR(F536="",F536="Revisar",C536=""),"",F536&amp;"-"&amp;C536&amp;"-"&amp;TEXT(COUNTIFS($F$2:F536,F536,$C$2:C536,C536),"0000"))</f>
        <v/>
      </c>
      <c r="B536" s="13" t="n"/>
      <c r="C536" s="12">
        <f>IF(ISNUMBER(B536),YEAR(B536),"")</f>
        <v/>
      </c>
      <c r="D536" s="14" t="n"/>
      <c r="E536" s="14" t="n"/>
      <c r="F536" s="12">
        <f>IF(E536="","",IFERROR(VLOOKUP(E536,LISTAS!$A$2:$C$65,2,FALSE),"Revisar"))</f>
        <v/>
      </c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2">
        <f>IF(COUNTA(B536:B536)+COUNTA(D536:E536)+COUNTA(G536:AJ536)=0,"",IF(COUNTBLANK(B536:B536)+COUNTBLANK(D536:E536)+COUNTBLANK(G536:G536)+COUNTBLANK(O536:AJ536)&gt;0,"Faltan "&amp;(COUNTBLANK(B536:B536)+COUNTBLANK(D536:E536)+COUNTBLANK(G536:G536)+COUNTBLANK(O536:AJ536))&amp;" datos obligatorios",IF(NOT(ISNUMBER(B536)),"Fecha no válida",IF(N(B536)&gt;TODAY(),"Fecha futura",IF(IFERROR(VLOOKUP(E536,LISTAS!$A$2:$C$65,3,FALSE),"")&lt;&gt;D536,"La subregión no corresponde al municipio",IF(IF(L536="",FALSE,OR(L536&lt;0,L536&gt;110)),"Edad fuera de rango",IF((V536="Sí")+(W536="Sí")+(X536="Sí")+(Y536="Sí")=0,"Marque al menos un tipo de violencia","OK")))))))</f>
        <v/>
      </c>
    </row>
    <row r="537">
      <c r="A537" s="12">
        <f>IF(OR(F537="",F537="Revisar",C537=""),"",F537&amp;"-"&amp;C537&amp;"-"&amp;TEXT(COUNTIFS($F$2:F537,F537,$C$2:C537,C537),"0000"))</f>
        <v/>
      </c>
      <c r="B537" s="13" t="n"/>
      <c r="C537" s="12">
        <f>IF(ISNUMBER(B537),YEAR(B537),"")</f>
        <v/>
      </c>
      <c r="D537" s="14" t="n"/>
      <c r="E537" s="14" t="n"/>
      <c r="F537" s="12">
        <f>IF(E537="","",IFERROR(VLOOKUP(E537,LISTAS!$A$2:$C$65,2,FALSE),"Revisar"))</f>
        <v/>
      </c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2">
        <f>IF(COUNTA(B537:B537)+COUNTA(D537:E537)+COUNTA(G537:AJ537)=0,"",IF(COUNTBLANK(B537:B537)+COUNTBLANK(D537:E537)+COUNTBLANK(G537:G537)+COUNTBLANK(O537:AJ537)&gt;0,"Faltan "&amp;(COUNTBLANK(B537:B537)+COUNTBLANK(D537:E537)+COUNTBLANK(G537:G537)+COUNTBLANK(O537:AJ537))&amp;" datos obligatorios",IF(NOT(ISNUMBER(B537)),"Fecha no válida",IF(N(B537)&gt;TODAY(),"Fecha futura",IF(IFERROR(VLOOKUP(E537,LISTAS!$A$2:$C$65,3,FALSE),"")&lt;&gt;D537,"La subregión no corresponde al municipio",IF(IF(L537="",FALSE,OR(L537&lt;0,L537&gt;110)),"Edad fuera de rango",IF((V537="Sí")+(W537="Sí")+(X537="Sí")+(Y537="Sí")=0,"Marque al menos un tipo de violencia","OK")))))))</f>
        <v/>
      </c>
    </row>
    <row r="538">
      <c r="A538" s="12">
        <f>IF(OR(F538="",F538="Revisar",C538=""),"",F538&amp;"-"&amp;C538&amp;"-"&amp;TEXT(COUNTIFS($F$2:F538,F538,$C$2:C538,C538),"0000"))</f>
        <v/>
      </c>
      <c r="B538" s="13" t="n"/>
      <c r="C538" s="12">
        <f>IF(ISNUMBER(B538),YEAR(B538),"")</f>
        <v/>
      </c>
      <c r="D538" s="14" t="n"/>
      <c r="E538" s="14" t="n"/>
      <c r="F538" s="12">
        <f>IF(E538="","",IFERROR(VLOOKUP(E538,LISTAS!$A$2:$C$65,2,FALSE),"Revisar"))</f>
        <v/>
      </c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2">
        <f>IF(COUNTA(B538:B538)+COUNTA(D538:E538)+COUNTA(G538:AJ538)=0,"",IF(COUNTBLANK(B538:B538)+COUNTBLANK(D538:E538)+COUNTBLANK(G538:G538)+COUNTBLANK(O538:AJ538)&gt;0,"Faltan "&amp;(COUNTBLANK(B538:B538)+COUNTBLANK(D538:E538)+COUNTBLANK(G538:G538)+COUNTBLANK(O538:AJ538))&amp;" datos obligatorios",IF(NOT(ISNUMBER(B538)),"Fecha no válida",IF(N(B538)&gt;TODAY(),"Fecha futura",IF(IFERROR(VLOOKUP(E538,LISTAS!$A$2:$C$65,3,FALSE),"")&lt;&gt;D538,"La subregión no corresponde al municipio",IF(IF(L538="",FALSE,OR(L538&lt;0,L538&gt;110)),"Edad fuera de rango",IF((V538="Sí")+(W538="Sí")+(X538="Sí")+(Y538="Sí")=0,"Marque al menos un tipo de violencia","OK")))))))</f>
        <v/>
      </c>
    </row>
    <row r="539">
      <c r="A539" s="12">
        <f>IF(OR(F539="",F539="Revisar",C539=""),"",F539&amp;"-"&amp;C539&amp;"-"&amp;TEXT(COUNTIFS($F$2:F539,F539,$C$2:C539,C539),"0000"))</f>
        <v/>
      </c>
      <c r="B539" s="13" t="n"/>
      <c r="C539" s="12">
        <f>IF(ISNUMBER(B539),YEAR(B539),"")</f>
        <v/>
      </c>
      <c r="D539" s="14" t="n"/>
      <c r="E539" s="14" t="n"/>
      <c r="F539" s="12">
        <f>IF(E539="","",IFERROR(VLOOKUP(E539,LISTAS!$A$2:$C$65,2,FALSE),"Revisar"))</f>
        <v/>
      </c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2">
        <f>IF(COUNTA(B539:B539)+COUNTA(D539:E539)+COUNTA(G539:AJ539)=0,"",IF(COUNTBLANK(B539:B539)+COUNTBLANK(D539:E539)+COUNTBLANK(G539:G539)+COUNTBLANK(O539:AJ539)&gt;0,"Faltan "&amp;(COUNTBLANK(B539:B539)+COUNTBLANK(D539:E539)+COUNTBLANK(G539:G539)+COUNTBLANK(O539:AJ539))&amp;" datos obligatorios",IF(NOT(ISNUMBER(B539)),"Fecha no válida",IF(N(B539)&gt;TODAY(),"Fecha futura",IF(IFERROR(VLOOKUP(E539,LISTAS!$A$2:$C$65,3,FALSE),"")&lt;&gt;D539,"La subregión no corresponde al municipio",IF(IF(L539="",FALSE,OR(L539&lt;0,L539&gt;110)),"Edad fuera de rango",IF((V539="Sí")+(W539="Sí")+(X539="Sí")+(Y539="Sí")=0,"Marque al menos un tipo de violencia","OK")))))))</f>
        <v/>
      </c>
    </row>
    <row r="540">
      <c r="A540" s="12">
        <f>IF(OR(F540="",F540="Revisar",C540=""),"",F540&amp;"-"&amp;C540&amp;"-"&amp;TEXT(COUNTIFS($F$2:F540,F540,$C$2:C540,C540),"0000"))</f>
        <v/>
      </c>
      <c r="B540" s="13" t="n"/>
      <c r="C540" s="12">
        <f>IF(ISNUMBER(B540),YEAR(B540),"")</f>
        <v/>
      </c>
      <c r="D540" s="14" t="n"/>
      <c r="E540" s="14" t="n"/>
      <c r="F540" s="12">
        <f>IF(E540="","",IFERROR(VLOOKUP(E540,LISTAS!$A$2:$C$65,2,FALSE),"Revisar"))</f>
        <v/>
      </c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2">
        <f>IF(COUNTA(B540:B540)+COUNTA(D540:E540)+COUNTA(G540:AJ540)=0,"",IF(COUNTBLANK(B540:B540)+COUNTBLANK(D540:E540)+COUNTBLANK(G540:G540)+COUNTBLANK(O540:AJ540)&gt;0,"Faltan "&amp;(COUNTBLANK(B540:B540)+COUNTBLANK(D540:E540)+COUNTBLANK(G540:G540)+COUNTBLANK(O540:AJ540))&amp;" datos obligatorios",IF(NOT(ISNUMBER(B540)),"Fecha no válida",IF(N(B540)&gt;TODAY(),"Fecha futura",IF(IFERROR(VLOOKUP(E540,LISTAS!$A$2:$C$65,3,FALSE),"")&lt;&gt;D540,"La subregión no corresponde al municipio",IF(IF(L540="",FALSE,OR(L540&lt;0,L540&gt;110)),"Edad fuera de rango",IF((V540="Sí")+(W540="Sí")+(X540="Sí")+(Y540="Sí")=0,"Marque al menos un tipo de violencia","OK")))))))</f>
        <v/>
      </c>
    </row>
    <row r="541">
      <c r="A541" s="12">
        <f>IF(OR(F541="",F541="Revisar",C541=""),"",F541&amp;"-"&amp;C541&amp;"-"&amp;TEXT(COUNTIFS($F$2:F541,F541,$C$2:C541,C541),"0000"))</f>
        <v/>
      </c>
      <c r="B541" s="13" t="n"/>
      <c r="C541" s="12">
        <f>IF(ISNUMBER(B541),YEAR(B541),"")</f>
        <v/>
      </c>
      <c r="D541" s="14" t="n"/>
      <c r="E541" s="14" t="n"/>
      <c r="F541" s="12">
        <f>IF(E541="","",IFERROR(VLOOKUP(E541,LISTAS!$A$2:$C$65,2,FALSE),"Revisar"))</f>
        <v/>
      </c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2">
        <f>IF(COUNTA(B541:B541)+COUNTA(D541:E541)+COUNTA(G541:AJ541)=0,"",IF(COUNTBLANK(B541:B541)+COUNTBLANK(D541:E541)+COUNTBLANK(G541:G541)+COUNTBLANK(O541:AJ541)&gt;0,"Faltan "&amp;(COUNTBLANK(B541:B541)+COUNTBLANK(D541:E541)+COUNTBLANK(G541:G541)+COUNTBLANK(O541:AJ541))&amp;" datos obligatorios",IF(NOT(ISNUMBER(B541)),"Fecha no válida",IF(N(B541)&gt;TODAY(),"Fecha futura",IF(IFERROR(VLOOKUP(E541,LISTAS!$A$2:$C$65,3,FALSE),"")&lt;&gt;D541,"La subregión no corresponde al municipio",IF(IF(L541="",FALSE,OR(L541&lt;0,L541&gt;110)),"Edad fuera de rango",IF((V541="Sí")+(W541="Sí")+(X541="Sí")+(Y541="Sí")=0,"Marque al menos un tipo de violencia","OK")))))))</f>
        <v/>
      </c>
    </row>
    <row r="542">
      <c r="A542" s="12">
        <f>IF(OR(F542="",F542="Revisar",C542=""),"",F542&amp;"-"&amp;C542&amp;"-"&amp;TEXT(COUNTIFS($F$2:F542,F542,$C$2:C542,C542),"0000"))</f>
        <v/>
      </c>
      <c r="B542" s="13" t="n"/>
      <c r="C542" s="12">
        <f>IF(ISNUMBER(B542),YEAR(B542),"")</f>
        <v/>
      </c>
      <c r="D542" s="14" t="n"/>
      <c r="E542" s="14" t="n"/>
      <c r="F542" s="12">
        <f>IF(E542="","",IFERROR(VLOOKUP(E542,LISTAS!$A$2:$C$65,2,FALSE),"Revisar"))</f>
        <v/>
      </c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2">
        <f>IF(COUNTA(B542:B542)+COUNTA(D542:E542)+COUNTA(G542:AJ542)=0,"",IF(COUNTBLANK(B542:B542)+COUNTBLANK(D542:E542)+COUNTBLANK(G542:G542)+COUNTBLANK(O542:AJ542)&gt;0,"Faltan "&amp;(COUNTBLANK(B542:B542)+COUNTBLANK(D542:E542)+COUNTBLANK(G542:G542)+COUNTBLANK(O542:AJ542))&amp;" datos obligatorios",IF(NOT(ISNUMBER(B542)),"Fecha no válida",IF(N(B542)&gt;TODAY(),"Fecha futura",IF(IFERROR(VLOOKUP(E542,LISTAS!$A$2:$C$65,3,FALSE),"")&lt;&gt;D542,"La subregión no corresponde al municipio",IF(IF(L542="",FALSE,OR(L542&lt;0,L542&gt;110)),"Edad fuera de rango",IF((V542="Sí")+(W542="Sí")+(X542="Sí")+(Y542="Sí")=0,"Marque al menos un tipo de violencia","OK")))))))</f>
        <v/>
      </c>
    </row>
    <row r="543">
      <c r="A543" s="12">
        <f>IF(OR(F543="",F543="Revisar",C543=""),"",F543&amp;"-"&amp;C543&amp;"-"&amp;TEXT(COUNTIFS($F$2:F543,F543,$C$2:C543,C543),"0000"))</f>
        <v/>
      </c>
      <c r="B543" s="13" t="n"/>
      <c r="C543" s="12">
        <f>IF(ISNUMBER(B543),YEAR(B543),"")</f>
        <v/>
      </c>
      <c r="D543" s="14" t="n"/>
      <c r="E543" s="14" t="n"/>
      <c r="F543" s="12">
        <f>IF(E543="","",IFERROR(VLOOKUP(E543,LISTAS!$A$2:$C$65,2,FALSE),"Revisar"))</f>
        <v/>
      </c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2">
        <f>IF(COUNTA(B543:B543)+COUNTA(D543:E543)+COUNTA(G543:AJ543)=0,"",IF(COUNTBLANK(B543:B543)+COUNTBLANK(D543:E543)+COUNTBLANK(G543:G543)+COUNTBLANK(O543:AJ543)&gt;0,"Faltan "&amp;(COUNTBLANK(B543:B543)+COUNTBLANK(D543:E543)+COUNTBLANK(G543:G543)+COUNTBLANK(O543:AJ543))&amp;" datos obligatorios",IF(NOT(ISNUMBER(B543)),"Fecha no válida",IF(N(B543)&gt;TODAY(),"Fecha futura",IF(IFERROR(VLOOKUP(E543,LISTAS!$A$2:$C$65,3,FALSE),"")&lt;&gt;D543,"La subregión no corresponde al municipio",IF(IF(L543="",FALSE,OR(L543&lt;0,L543&gt;110)),"Edad fuera de rango",IF((V543="Sí")+(W543="Sí")+(X543="Sí")+(Y543="Sí")=0,"Marque al menos un tipo de violencia","OK")))))))</f>
        <v/>
      </c>
    </row>
    <row r="544">
      <c r="A544" s="12">
        <f>IF(OR(F544="",F544="Revisar",C544=""),"",F544&amp;"-"&amp;C544&amp;"-"&amp;TEXT(COUNTIFS($F$2:F544,F544,$C$2:C544,C544),"0000"))</f>
        <v/>
      </c>
      <c r="B544" s="13" t="n"/>
      <c r="C544" s="12">
        <f>IF(ISNUMBER(B544),YEAR(B544),"")</f>
        <v/>
      </c>
      <c r="D544" s="14" t="n"/>
      <c r="E544" s="14" t="n"/>
      <c r="F544" s="12">
        <f>IF(E544="","",IFERROR(VLOOKUP(E544,LISTAS!$A$2:$C$65,2,FALSE),"Revisar"))</f>
        <v/>
      </c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2">
        <f>IF(COUNTA(B544:B544)+COUNTA(D544:E544)+COUNTA(G544:AJ544)=0,"",IF(COUNTBLANK(B544:B544)+COUNTBLANK(D544:E544)+COUNTBLANK(G544:G544)+COUNTBLANK(O544:AJ544)&gt;0,"Faltan "&amp;(COUNTBLANK(B544:B544)+COUNTBLANK(D544:E544)+COUNTBLANK(G544:G544)+COUNTBLANK(O544:AJ544))&amp;" datos obligatorios",IF(NOT(ISNUMBER(B544)),"Fecha no válida",IF(N(B544)&gt;TODAY(),"Fecha futura",IF(IFERROR(VLOOKUP(E544,LISTAS!$A$2:$C$65,3,FALSE),"")&lt;&gt;D544,"La subregión no corresponde al municipio",IF(IF(L544="",FALSE,OR(L544&lt;0,L544&gt;110)),"Edad fuera de rango",IF((V544="Sí")+(W544="Sí")+(X544="Sí")+(Y544="Sí")=0,"Marque al menos un tipo de violencia","OK")))))))</f>
        <v/>
      </c>
    </row>
    <row r="545">
      <c r="A545" s="12">
        <f>IF(OR(F545="",F545="Revisar",C545=""),"",F545&amp;"-"&amp;C545&amp;"-"&amp;TEXT(COUNTIFS($F$2:F545,F545,$C$2:C545,C545),"0000"))</f>
        <v/>
      </c>
      <c r="B545" s="13" t="n"/>
      <c r="C545" s="12">
        <f>IF(ISNUMBER(B545),YEAR(B545),"")</f>
        <v/>
      </c>
      <c r="D545" s="14" t="n"/>
      <c r="E545" s="14" t="n"/>
      <c r="F545" s="12">
        <f>IF(E545="","",IFERROR(VLOOKUP(E545,LISTAS!$A$2:$C$65,2,FALSE),"Revisar"))</f>
        <v/>
      </c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2">
        <f>IF(COUNTA(B545:B545)+COUNTA(D545:E545)+COUNTA(G545:AJ545)=0,"",IF(COUNTBLANK(B545:B545)+COUNTBLANK(D545:E545)+COUNTBLANK(G545:G545)+COUNTBLANK(O545:AJ545)&gt;0,"Faltan "&amp;(COUNTBLANK(B545:B545)+COUNTBLANK(D545:E545)+COUNTBLANK(G545:G545)+COUNTBLANK(O545:AJ545))&amp;" datos obligatorios",IF(NOT(ISNUMBER(B545)),"Fecha no válida",IF(N(B545)&gt;TODAY(),"Fecha futura",IF(IFERROR(VLOOKUP(E545,LISTAS!$A$2:$C$65,3,FALSE),"")&lt;&gt;D545,"La subregión no corresponde al municipio",IF(IF(L545="",FALSE,OR(L545&lt;0,L545&gt;110)),"Edad fuera de rango",IF((V545="Sí")+(W545="Sí")+(X545="Sí")+(Y545="Sí")=0,"Marque al menos un tipo de violencia","OK")))))))</f>
        <v/>
      </c>
    </row>
    <row r="546">
      <c r="A546" s="12">
        <f>IF(OR(F546="",F546="Revisar",C546=""),"",F546&amp;"-"&amp;C546&amp;"-"&amp;TEXT(COUNTIFS($F$2:F546,F546,$C$2:C546,C546),"0000"))</f>
        <v/>
      </c>
      <c r="B546" s="13" t="n"/>
      <c r="C546" s="12">
        <f>IF(ISNUMBER(B546),YEAR(B546),"")</f>
        <v/>
      </c>
      <c r="D546" s="14" t="n"/>
      <c r="E546" s="14" t="n"/>
      <c r="F546" s="12">
        <f>IF(E546="","",IFERROR(VLOOKUP(E546,LISTAS!$A$2:$C$65,2,FALSE),"Revisar"))</f>
        <v/>
      </c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2">
        <f>IF(COUNTA(B546:B546)+COUNTA(D546:E546)+COUNTA(G546:AJ546)=0,"",IF(COUNTBLANK(B546:B546)+COUNTBLANK(D546:E546)+COUNTBLANK(G546:G546)+COUNTBLANK(O546:AJ546)&gt;0,"Faltan "&amp;(COUNTBLANK(B546:B546)+COUNTBLANK(D546:E546)+COUNTBLANK(G546:G546)+COUNTBLANK(O546:AJ546))&amp;" datos obligatorios",IF(NOT(ISNUMBER(B546)),"Fecha no válida",IF(N(B546)&gt;TODAY(),"Fecha futura",IF(IFERROR(VLOOKUP(E546,LISTAS!$A$2:$C$65,3,FALSE),"")&lt;&gt;D546,"La subregión no corresponde al municipio",IF(IF(L546="",FALSE,OR(L546&lt;0,L546&gt;110)),"Edad fuera de rango",IF((V546="Sí")+(W546="Sí")+(X546="Sí")+(Y546="Sí")=0,"Marque al menos un tipo de violencia","OK")))))))</f>
        <v/>
      </c>
    </row>
    <row r="547">
      <c r="A547" s="12">
        <f>IF(OR(F547="",F547="Revisar",C547=""),"",F547&amp;"-"&amp;C547&amp;"-"&amp;TEXT(COUNTIFS($F$2:F547,F547,$C$2:C547,C547),"0000"))</f>
        <v/>
      </c>
      <c r="B547" s="13" t="n"/>
      <c r="C547" s="12">
        <f>IF(ISNUMBER(B547),YEAR(B547),"")</f>
        <v/>
      </c>
      <c r="D547" s="14" t="n"/>
      <c r="E547" s="14" t="n"/>
      <c r="F547" s="12">
        <f>IF(E547="","",IFERROR(VLOOKUP(E547,LISTAS!$A$2:$C$65,2,FALSE),"Revisar"))</f>
        <v/>
      </c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2">
        <f>IF(COUNTA(B547:B547)+COUNTA(D547:E547)+COUNTA(G547:AJ547)=0,"",IF(COUNTBLANK(B547:B547)+COUNTBLANK(D547:E547)+COUNTBLANK(G547:G547)+COUNTBLANK(O547:AJ547)&gt;0,"Faltan "&amp;(COUNTBLANK(B547:B547)+COUNTBLANK(D547:E547)+COUNTBLANK(G547:G547)+COUNTBLANK(O547:AJ547))&amp;" datos obligatorios",IF(NOT(ISNUMBER(B547)),"Fecha no válida",IF(N(B547)&gt;TODAY(),"Fecha futura",IF(IFERROR(VLOOKUP(E547,LISTAS!$A$2:$C$65,3,FALSE),"")&lt;&gt;D547,"La subregión no corresponde al municipio",IF(IF(L547="",FALSE,OR(L547&lt;0,L547&gt;110)),"Edad fuera de rango",IF((V547="Sí")+(W547="Sí")+(X547="Sí")+(Y547="Sí")=0,"Marque al menos un tipo de violencia","OK")))))))</f>
        <v/>
      </c>
    </row>
    <row r="548">
      <c r="A548" s="12">
        <f>IF(OR(F548="",F548="Revisar",C548=""),"",F548&amp;"-"&amp;C548&amp;"-"&amp;TEXT(COUNTIFS($F$2:F548,F548,$C$2:C548,C548),"0000"))</f>
        <v/>
      </c>
      <c r="B548" s="13" t="n"/>
      <c r="C548" s="12">
        <f>IF(ISNUMBER(B548),YEAR(B548),"")</f>
        <v/>
      </c>
      <c r="D548" s="14" t="n"/>
      <c r="E548" s="14" t="n"/>
      <c r="F548" s="12">
        <f>IF(E548="","",IFERROR(VLOOKUP(E548,LISTAS!$A$2:$C$65,2,FALSE),"Revisar"))</f>
        <v/>
      </c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2">
        <f>IF(COUNTA(B548:B548)+COUNTA(D548:E548)+COUNTA(G548:AJ548)=0,"",IF(COUNTBLANK(B548:B548)+COUNTBLANK(D548:E548)+COUNTBLANK(G548:G548)+COUNTBLANK(O548:AJ548)&gt;0,"Faltan "&amp;(COUNTBLANK(B548:B548)+COUNTBLANK(D548:E548)+COUNTBLANK(G548:G548)+COUNTBLANK(O548:AJ548))&amp;" datos obligatorios",IF(NOT(ISNUMBER(B548)),"Fecha no válida",IF(N(B548)&gt;TODAY(),"Fecha futura",IF(IFERROR(VLOOKUP(E548,LISTAS!$A$2:$C$65,3,FALSE),"")&lt;&gt;D548,"La subregión no corresponde al municipio",IF(IF(L548="",FALSE,OR(L548&lt;0,L548&gt;110)),"Edad fuera de rango",IF((V548="Sí")+(W548="Sí")+(X548="Sí")+(Y548="Sí")=0,"Marque al menos un tipo de violencia","OK")))))))</f>
        <v/>
      </c>
    </row>
    <row r="549">
      <c r="A549" s="12">
        <f>IF(OR(F549="",F549="Revisar",C549=""),"",F549&amp;"-"&amp;C549&amp;"-"&amp;TEXT(COUNTIFS($F$2:F549,F549,$C$2:C549,C549),"0000"))</f>
        <v/>
      </c>
      <c r="B549" s="13" t="n"/>
      <c r="C549" s="12">
        <f>IF(ISNUMBER(B549),YEAR(B549),"")</f>
        <v/>
      </c>
      <c r="D549" s="14" t="n"/>
      <c r="E549" s="14" t="n"/>
      <c r="F549" s="12">
        <f>IF(E549="","",IFERROR(VLOOKUP(E549,LISTAS!$A$2:$C$65,2,FALSE),"Revisar"))</f>
        <v/>
      </c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2">
        <f>IF(COUNTA(B549:B549)+COUNTA(D549:E549)+COUNTA(G549:AJ549)=0,"",IF(COUNTBLANK(B549:B549)+COUNTBLANK(D549:E549)+COUNTBLANK(G549:G549)+COUNTBLANK(O549:AJ549)&gt;0,"Faltan "&amp;(COUNTBLANK(B549:B549)+COUNTBLANK(D549:E549)+COUNTBLANK(G549:G549)+COUNTBLANK(O549:AJ549))&amp;" datos obligatorios",IF(NOT(ISNUMBER(B549)),"Fecha no válida",IF(N(B549)&gt;TODAY(),"Fecha futura",IF(IFERROR(VLOOKUP(E549,LISTAS!$A$2:$C$65,3,FALSE),"")&lt;&gt;D549,"La subregión no corresponde al municipio",IF(IF(L549="",FALSE,OR(L549&lt;0,L549&gt;110)),"Edad fuera de rango",IF((V549="Sí")+(W549="Sí")+(X549="Sí")+(Y549="Sí")=0,"Marque al menos un tipo de violencia","OK")))))))</f>
        <v/>
      </c>
    </row>
    <row r="550">
      <c r="A550" s="12">
        <f>IF(OR(F550="",F550="Revisar",C550=""),"",F550&amp;"-"&amp;C550&amp;"-"&amp;TEXT(COUNTIFS($F$2:F550,F550,$C$2:C550,C550),"0000"))</f>
        <v/>
      </c>
      <c r="B550" s="13" t="n"/>
      <c r="C550" s="12">
        <f>IF(ISNUMBER(B550),YEAR(B550),"")</f>
        <v/>
      </c>
      <c r="D550" s="14" t="n"/>
      <c r="E550" s="14" t="n"/>
      <c r="F550" s="12">
        <f>IF(E550="","",IFERROR(VLOOKUP(E550,LISTAS!$A$2:$C$65,2,FALSE),"Revisar"))</f>
        <v/>
      </c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2">
        <f>IF(COUNTA(B550:B550)+COUNTA(D550:E550)+COUNTA(G550:AJ550)=0,"",IF(COUNTBLANK(B550:B550)+COUNTBLANK(D550:E550)+COUNTBLANK(G550:G550)+COUNTBLANK(O550:AJ550)&gt;0,"Faltan "&amp;(COUNTBLANK(B550:B550)+COUNTBLANK(D550:E550)+COUNTBLANK(G550:G550)+COUNTBLANK(O550:AJ550))&amp;" datos obligatorios",IF(NOT(ISNUMBER(B550)),"Fecha no válida",IF(N(B550)&gt;TODAY(),"Fecha futura",IF(IFERROR(VLOOKUP(E550,LISTAS!$A$2:$C$65,3,FALSE),"")&lt;&gt;D550,"La subregión no corresponde al municipio",IF(IF(L550="",FALSE,OR(L550&lt;0,L550&gt;110)),"Edad fuera de rango",IF((V550="Sí")+(W550="Sí")+(X550="Sí")+(Y550="Sí")=0,"Marque al menos un tipo de violencia","OK")))))))</f>
        <v/>
      </c>
    </row>
    <row r="551">
      <c r="A551" s="12">
        <f>IF(OR(F551="",F551="Revisar",C551=""),"",F551&amp;"-"&amp;C551&amp;"-"&amp;TEXT(COUNTIFS($F$2:F551,F551,$C$2:C551,C551),"0000"))</f>
        <v/>
      </c>
      <c r="B551" s="13" t="n"/>
      <c r="C551" s="12">
        <f>IF(ISNUMBER(B551),YEAR(B551),"")</f>
        <v/>
      </c>
      <c r="D551" s="14" t="n"/>
      <c r="E551" s="14" t="n"/>
      <c r="F551" s="12">
        <f>IF(E551="","",IFERROR(VLOOKUP(E551,LISTAS!$A$2:$C$65,2,FALSE),"Revisar"))</f>
        <v/>
      </c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2">
        <f>IF(COUNTA(B551:B551)+COUNTA(D551:E551)+COUNTA(G551:AJ551)=0,"",IF(COUNTBLANK(B551:B551)+COUNTBLANK(D551:E551)+COUNTBLANK(G551:G551)+COUNTBLANK(O551:AJ551)&gt;0,"Faltan "&amp;(COUNTBLANK(B551:B551)+COUNTBLANK(D551:E551)+COUNTBLANK(G551:G551)+COUNTBLANK(O551:AJ551))&amp;" datos obligatorios",IF(NOT(ISNUMBER(B551)),"Fecha no válida",IF(N(B551)&gt;TODAY(),"Fecha futura",IF(IFERROR(VLOOKUP(E551,LISTAS!$A$2:$C$65,3,FALSE),"")&lt;&gt;D551,"La subregión no corresponde al municipio",IF(IF(L551="",FALSE,OR(L551&lt;0,L551&gt;110)),"Edad fuera de rango",IF((V551="Sí")+(W551="Sí")+(X551="Sí")+(Y551="Sí")=0,"Marque al menos un tipo de violencia","OK")))))))</f>
        <v/>
      </c>
    </row>
    <row r="552">
      <c r="A552" s="12">
        <f>IF(OR(F552="",F552="Revisar",C552=""),"",F552&amp;"-"&amp;C552&amp;"-"&amp;TEXT(COUNTIFS($F$2:F552,F552,$C$2:C552,C552),"0000"))</f>
        <v/>
      </c>
      <c r="B552" s="13" t="n"/>
      <c r="C552" s="12">
        <f>IF(ISNUMBER(B552),YEAR(B552),"")</f>
        <v/>
      </c>
      <c r="D552" s="14" t="n"/>
      <c r="E552" s="14" t="n"/>
      <c r="F552" s="12">
        <f>IF(E552="","",IFERROR(VLOOKUP(E552,LISTAS!$A$2:$C$65,2,FALSE),"Revisar"))</f>
        <v/>
      </c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2">
        <f>IF(COUNTA(B552:B552)+COUNTA(D552:E552)+COUNTA(G552:AJ552)=0,"",IF(COUNTBLANK(B552:B552)+COUNTBLANK(D552:E552)+COUNTBLANK(G552:G552)+COUNTBLANK(O552:AJ552)&gt;0,"Faltan "&amp;(COUNTBLANK(B552:B552)+COUNTBLANK(D552:E552)+COUNTBLANK(G552:G552)+COUNTBLANK(O552:AJ552))&amp;" datos obligatorios",IF(NOT(ISNUMBER(B552)),"Fecha no válida",IF(N(B552)&gt;TODAY(),"Fecha futura",IF(IFERROR(VLOOKUP(E552,LISTAS!$A$2:$C$65,3,FALSE),"")&lt;&gt;D552,"La subregión no corresponde al municipio",IF(IF(L552="",FALSE,OR(L552&lt;0,L552&gt;110)),"Edad fuera de rango",IF((V552="Sí")+(W552="Sí")+(X552="Sí")+(Y552="Sí")=0,"Marque al menos un tipo de violencia","OK")))))))</f>
        <v/>
      </c>
    </row>
    <row r="553">
      <c r="A553" s="12">
        <f>IF(OR(F553="",F553="Revisar",C553=""),"",F553&amp;"-"&amp;C553&amp;"-"&amp;TEXT(COUNTIFS($F$2:F553,F553,$C$2:C553,C553),"0000"))</f>
        <v/>
      </c>
      <c r="B553" s="13" t="n"/>
      <c r="C553" s="12">
        <f>IF(ISNUMBER(B553),YEAR(B553),"")</f>
        <v/>
      </c>
      <c r="D553" s="14" t="n"/>
      <c r="E553" s="14" t="n"/>
      <c r="F553" s="12">
        <f>IF(E553="","",IFERROR(VLOOKUP(E553,LISTAS!$A$2:$C$65,2,FALSE),"Revisar"))</f>
        <v/>
      </c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2">
        <f>IF(COUNTA(B553:B553)+COUNTA(D553:E553)+COUNTA(G553:AJ553)=0,"",IF(COUNTBLANK(B553:B553)+COUNTBLANK(D553:E553)+COUNTBLANK(G553:G553)+COUNTBLANK(O553:AJ553)&gt;0,"Faltan "&amp;(COUNTBLANK(B553:B553)+COUNTBLANK(D553:E553)+COUNTBLANK(G553:G553)+COUNTBLANK(O553:AJ553))&amp;" datos obligatorios",IF(NOT(ISNUMBER(B553)),"Fecha no válida",IF(N(B553)&gt;TODAY(),"Fecha futura",IF(IFERROR(VLOOKUP(E553,LISTAS!$A$2:$C$65,3,FALSE),"")&lt;&gt;D553,"La subregión no corresponde al municipio",IF(IF(L553="",FALSE,OR(L553&lt;0,L553&gt;110)),"Edad fuera de rango",IF((V553="Sí")+(W553="Sí")+(X553="Sí")+(Y553="Sí")=0,"Marque al menos un tipo de violencia","OK")))))))</f>
        <v/>
      </c>
    </row>
    <row r="554">
      <c r="A554" s="12">
        <f>IF(OR(F554="",F554="Revisar",C554=""),"",F554&amp;"-"&amp;C554&amp;"-"&amp;TEXT(COUNTIFS($F$2:F554,F554,$C$2:C554,C554),"0000"))</f>
        <v/>
      </c>
      <c r="B554" s="13" t="n"/>
      <c r="C554" s="12">
        <f>IF(ISNUMBER(B554),YEAR(B554),"")</f>
        <v/>
      </c>
      <c r="D554" s="14" t="n"/>
      <c r="E554" s="14" t="n"/>
      <c r="F554" s="12">
        <f>IF(E554="","",IFERROR(VLOOKUP(E554,LISTAS!$A$2:$C$65,2,FALSE),"Revisar"))</f>
        <v/>
      </c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2">
        <f>IF(COUNTA(B554:B554)+COUNTA(D554:E554)+COUNTA(G554:AJ554)=0,"",IF(COUNTBLANK(B554:B554)+COUNTBLANK(D554:E554)+COUNTBLANK(G554:G554)+COUNTBLANK(O554:AJ554)&gt;0,"Faltan "&amp;(COUNTBLANK(B554:B554)+COUNTBLANK(D554:E554)+COUNTBLANK(G554:G554)+COUNTBLANK(O554:AJ554))&amp;" datos obligatorios",IF(NOT(ISNUMBER(B554)),"Fecha no válida",IF(N(B554)&gt;TODAY(),"Fecha futura",IF(IFERROR(VLOOKUP(E554,LISTAS!$A$2:$C$65,3,FALSE),"")&lt;&gt;D554,"La subregión no corresponde al municipio",IF(IF(L554="",FALSE,OR(L554&lt;0,L554&gt;110)),"Edad fuera de rango",IF((V554="Sí")+(W554="Sí")+(X554="Sí")+(Y554="Sí")=0,"Marque al menos un tipo de violencia","OK")))))))</f>
        <v/>
      </c>
    </row>
    <row r="555">
      <c r="A555" s="12">
        <f>IF(OR(F555="",F555="Revisar",C555=""),"",F555&amp;"-"&amp;C555&amp;"-"&amp;TEXT(COUNTIFS($F$2:F555,F555,$C$2:C555,C555),"0000"))</f>
        <v/>
      </c>
      <c r="B555" s="13" t="n"/>
      <c r="C555" s="12">
        <f>IF(ISNUMBER(B555),YEAR(B555),"")</f>
        <v/>
      </c>
      <c r="D555" s="14" t="n"/>
      <c r="E555" s="14" t="n"/>
      <c r="F555" s="12">
        <f>IF(E555="","",IFERROR(VLOOKUP(E555,LISTAS!$A$2:$C$65,2,FALSE),"Revisar"))</f>
        <v/>
      </c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2">
        <f>IF(COUNTA(B555:B555)+COUNTA(D555:E555)+COUNTA(G555:AJ555)=0,"",IF(COUNTBLANK(B555:B555)+COUNTBLANK(D555:E555)+COUNTBLANK(G555:G555)+COUNTBLANK(O555:AJ555)&gt;0,"Faltan "&amp;(COUNTBLANK(B555:B555)+COUNTBLANK(D555:E555)+COUNTBLANK(G555:G555)+COUNTBLANK(O555:AJ555))&amp;" datos obligatorios",IF(NOT(ISNUMBER(B555)),"Fecha no válida",IF(N(B555)&gt;TODAY(),"Fecha futura",IF(IFERROR(VLOOKUP(E555,LISTAS!$A$2:$C$65,3,FALSE),"")&lt;&gt;D555,"La subregión no corresponde al municipio",IF(IF(L555="",FALSE,OR(L555&lt;0,L555&gt;110)),"Edad fuera de rango",IF((V555="Sí")+(W555="Sí")+(X555="Sí")+(Y555="Sí")=0,"Marque al menos un tipo de violencia","OK")))))))</f>
        <v/>
      </c>
    </row>
    <row r="556">
      <c r="A556" s="12">
        <f>IF(OR(F556="",F556="Revisar",C556=""),"",F556&amp;"-"&amp;C556&amp;"-"&amp;TEXT(COUNTIFS($F$2:F556,F556,$C$2:C556,C556),"0000"))</f>
        <v/>
      </c>
      <c r="B556" s="13" t="n"/>
      <c r="C556" s="12">
        <f>IF(ISNUMBER(B556),YEAR(B556),"")</f>
        <v/>
      </c>
      <c r="D556" s="14" t="n"/>
      <c r="E556" s="14" t="n"/>
      <c r="F556" s="12">
        <f>IF(E556="","",IFERROR(VLOOKUP(E556,LISTAS!$A$2:$C$65,2,FALSE),"Revisar"))</f>
        <v/>
      </c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2">
        <f>IF(COUNTA(B556:B556)+COUNTA(D556:E556)+COUNTA(G556:AJ556)=0,"",IF(COUNTBLANK(B556:B556)+COUNTBLANK(D556:E556)+COUNTBLANK(G556:G556)+COUNTBLANK(O556:AJ556)&gt;0,"Faltan "&amp;(COUNTBLANK(B556:B556)+COUNTBLANK(D556:E556)+COUNTBLANK(G556:G556)+COUNTBLANK(O556:AJ556))&amp;" datos obligatorios",IF(NOT(ISNUMBER(B556)),"Fecha no válida",IF(N(B556)&gt;TODAY(),"Fecha futura",IF(IFERROR(VLOOKUP(E556,LISTAS!$A$2:$C$65,3,FALSE),"")&lt;&gt;D556,"La subregión no corresponde al municipio",IF(IF(L556="",FALSE,OR(L556&lt;0,L556&gt;110)),"Edad fuera de rango",IF((V556="Sí")+(W556="Sí")+(X556="Sí")+(Y556="Sí")=0,"Marque al menos un tipo de violencia","OK")))))))</f>
        <v/>
      </c>
    </row>
    <row r="557">
      <c r="A557" s="12">
        <f>IF(OR(F557="",F557="Revisar",C557=""),"",F557&amp;"-"&amp;C557&amp;"-"&amp;TEXT(COUNTIFS($F$2:F557,F557,$C$2:C557,C557),"0000"))</f>
        <v/>
      </c>
      <c r="B557" s="13" t="n"/>
      <c r="C557" s="12">
        <f>IF(ISNUMBER(B557),YEAR(B557),"")</f>
        <v/>
      </c>
      <c r="D557" s="14" t="n"/>
      <c r="E557" s="14" t="n"/>
      <c r="F557" s="12">
        <f>IF(E557="","",IFERROR(VLOOKUP(E557,LISTAS!$A$2:$C$65,2,FALSE),"Revisar"))</f>
        <v/>
      </c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2">
        <f>IF(COUNTA(B557:B557)+COUNTA(D557:E557)+COUNTA(G557:AJ557)=0,"",IF(COUNTBLANK(B557:B557)+COUNTBLANK(D557:E557)+COUNTBLANK(G557:G557)+COUNTBLANK(O557:AJ557)&gt;0,"Faltan "&amp;(COUNTBLANK(B557:B557)+COUNTBLANK(D557:E557)+COUNTBLANK(G557:G557)+COUNTBLANK(O557:AJ557))&amp;" datos obligatorios",IF(NOT(ISNUMBER(B557)),"Fecha no válida",IF(N(B557)&gt;TODAY(),"Fecha futura",IF(IFERROR(VLOOKUP(E557,LISTAS!$A$2:$C$65,3,FALSE),"")&lt;&gt;D557,"La subregión no corresponde al municipio",IF(IF(L557="",FALSE,OR(L557&lt;0,L557&gt;110)),"Edad fuera de rango",IF((V557="Sí")+(W557="Sí")+(X557="Sí")+(Y557="Sí")=0,"Marque al menos un tipo de violencia","OK")))))))</f>
        <v/>
      </c>
    </row>
    <row r="558">
      <c r="A558" s="12">
        <f>IF(OR(F558="",F558="Revisar",C558=""),"",F558&amp;"-"&amp;C558&amp;"-"&amp;TEXT(COUNTIFS($F$2:F558,F558,$C$2:C558,C558),"0000"))</f>
        <v/>
      </c>
      <c r="B558" s="13" t="n"/>
      <c r="C558" s="12">
        <f>IF(ISNUMBER(B558),YEAR(B558),"")</f>
        <v/>
      </c>
      <c r="D558" s="14" t="n"/>
      <c r="E558" s="14" t="n"/>
      <c r="F558" s="12">
        <f>IF(E558="","",IFERROR(VLOOKUP(E558,LISTAS!$A$2:$C$65,2,FALSE),"Revisar"))</f>
        <v/>
      </c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2">
        <f>IF(COUNTA(B558:B558)+COUNTA(D558:E558)+COUNTA(G558:AJ558)=0,"",IF(COUNTBLANK(B558:B558)+COUNTBLANK(D558:E558)+COUNTBLANK(G558:G558)+COUNTBLANK(O558:AJ558)&gt;0,"Faltan "&amp;(COUNTBLANK(B558:B558)+COUNTBLANK(D558:E558)+COUNTBLANK(G558:G558)+COUNTBLANK(O558:AJ558))&amp;" datos obligatorios",IF(NOT(ISNUMBER(B558)),"Fecha no válida",IF(N(B558)&gt;TODAY(),"Fecha futura",IF(IFERROR(VLOOKUP(E558,LISTAS!$A$2:$C$65,3,FALSE),"")&lt;&gt;D558,"La subregión no corresponde al municipio",IF(IF(L558="",FALSE,OR(L558&lt;0,L558&gt;110)),"Edad fuera de rango",IF((V558="Sí")+(W558="Sí")+(X558="Sí")+(Y558="Sí")=0,"Marque al menos un tipo de violencia","OK")))))))</f>
        <v/>
      </c>
    </row>
    <row r="559">
      <c r="A559" s="12">
        <f>IF(OR(F559="",F559="Revisar",C559=""),"",F559&amp;"-"&amp;C559&amp;"-"&amp;TEXT(COUNTIFS($F$2:F559,F559,$C$2:C559,C559),"0000"))</f>
        <v/>
      </c>
      <c r="B559" s="13" t="n"/>
      <c r="C559" s="12">
        <f>IF(ISNUMBER(B559),YEAR(B559),"")</f>
        <v/>
      </c>
      <c r="D559" s="14" t="n"/>
      <c r="E559" s="14" t="n"/>
      <c r="F559" s="12">
        <f>IF(E559="","",IFERROR(VLOOKUP(E559,LISTAS!$A$2:$C$65,2,FALSE),"Revisar"))</f>
        <v/>
      </c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2">
        <f>IF(COUNTA(B559:B559)+COUNTA(D559:E559)+COUNTA(G559:AJ559)=0,"",IF(COUNTBLANK(B559:B559)+COUNTBLANK(D559:E559)+COUNTBLANK(G559:G559)+COUNTBLANK(O559:AJ559)&gt;0,"Faltan "&amp;(COUNTBLANK(B559:B559)+COUNTBLANK(D559:E559)+COUNTBLANK(G559:G559)+COUNTBLANK(O559:AJ559))&amp;" datos obligatorios",IF(NOT(ISNUMBER(B559)),"Fecha no válida",IF(N(B559)&gt;TODAY(),"Fecha futura",IF(IFERROR(VLOOKUP(E559,LISTAS!$A$2:$C$65,3,FALSE),"")&lt;&gt;D559,"La subregión no corresponde al municipio",IF(IF(L559="",FALSE,OR(L559&lt;0,L559&gt;110)),"Edad fuera de rango",IF((V559="Sí")+(W559="Sí")+(X559="Sí")+(Y559="Sí")=0,"Marque al menos un tipo de violencia","OK")))))))</f>
        <v/>
      </c>
    </row>
    <row r="560">
      <c r="A560" s="12">
        <f>IF(OR(F560="",F560="Revisar",C560=""),"",F560&amp;"-"&amp;C560&amp;"-"&amp;TEXT(COUNTIFS($F$2:F560,F560,$C$2:C560,C560),"0000"))</f>
        <v/>
      </c>
      <c r="B560" s="13" t="n"/>
      <c r="C560" s="12">
        <f>IF(ISNUMBER(B560),YEAR(B560),"")</f>
        <v/>
      </c>
      <c r="D560" s="14" t="n"/>
      <c r="E560" s="14" t="n"/>
      <c r="F560" s="12">
        <f>IF(E560="","",IFERROR(VLOOKUP(E560,LISTAS!$A$2:$C$65,2,FALSE),"Revisar"))</f>
        <v/>
      </c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2">
        <f>IF(COUNTA(B560:B560)+COUNTA(D560:E560)+COUNTA(G560:AJ560)=0,"",IF(COUNTBLANK(B560:B560)+COUNTBLANK(D560:E560)+COUNTBLANK(G560:G560)+COUNTBLANK(O560:AJ560)&gt;0,"Faltan "&amp;(COUNTBLANK(B560:B560)+COUNTBLANK(D560:E560)+COUNTBLANK(G560:G560)+COUNTBLANK(O560:AJ560))&amp;" datos obligatorios",IF(NOT(ISNUMBER(B560)),"Fecha no válida",IF(N(B560)&gt;TODAY(),"Fecha futura",IF(IFERROR(VLOOKUP(E560,LISTAS!$A$2:$C$65,3,FALSE),"")&lt;&gt;D560,"La subregión no corresponde al municipio",IF(IF(L560="",FALSE,OR(L560&lt;0,L560&gt;110)),"Edad fuera de rango",IF((V560="Sí")+(W560="Sí")+(X560="Sí")+(Y560="Sí")=0,"Marque al menos un tipo de violencia","OK")))))))</f>
        <v/>
      </c>
    </row>
    <row r="561">
      <c r="A561" s="12">
        <f>IF(OR(F561="",F561="Revisar",C561=""),"",F561&amp;"-"&amp;C561&amp;"-"&amp;TEXT(COUNTIFS($F$2:F561,F561,$C$2:C561,C561),"0000"))</f>
        <v/>
      </c>
      <c r="B561" s="13" t="n"/>
      <c r="C561" s="12">
        <f>IF(ISNUMBER(B561),YEAR(B561),"")</f>
        <v/>
      </c>
      <c r="D561" s="14" t="n"/>
      <c r="E561" s="14" t="n"/>
      <c r="F561" s="12">
        <f>IF(E561="","",IFERROR(VLOOKUP(E561,LISTAS!$A$2:$C$65,2,FALSE),"Revisar"))</f>
        <v/>
      </c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2">
        <f>IF(COUNTA(B561:B561)+COUNTA(D561:E561)+COUNTA(G561:AJ561)=0,"",IF(COUNTBLANK(B561:B561)+COUNTBLANK(D561:E561)+COUNTBLANK(G561:G561)+COUNTBLANK(O561:AJ561)&gt;0,"Faltan "&amp;(COUNTBLANK(B561:B561)+COUNTBLANK(D561:E561)+COUNTBLANK(G561:G561)+COUNTBLANK(O561:AJ561))&amp;" datos obligatorios",IF(NOT(ISNUMBER(B561)),"Fecha no válida",IF(N(B561)&gt;TODAY(),"Fecha futura",IF(IFERROR(VLOOKUP(E561,LISTAS!$A$2:$C$65,3,FALSE),"")&lt;&gt;D561,"La subregión no corresponde al municipio",IF(IF(L561="",FALSE,OR(L561&lt;0,L561&gt;110)),"Edad fuera de rango",IF((V561="Sí")+(W561="Sí")+(X561="Sí")+(Y561="Sí")=0,"Marque al menos un tipo de violencia","OK")))))))</f>
        <v/>
      </c>
    </row>
    <row r="562">
      <c r="A562" s="12">
        <f>IF(OR(F562="",F562="Revisar",C562=""),"",F562&amp;"-"&amp;C562&amp;"-"&amp;TEXT(COUNTIFS($F$2:F562,F562,$C$2:C562,C562),"0000"))</f>
        <v/>
      </c>
      <c r="B562" s="13" t="n"/>
      <c r="C562" s="12">
        <f>IF(ISNUMBER(B562),YEAR(B562),"")</f>
        <v/>
      </c>
      <c r="D562" s="14" t="n"/>
      <c r="E562" s="14" t="n"/>
      <c r="F562" s="12">
        <f>IF(E562="","",IFERROR(VLOOKUP(E562,LISTAS!$A$2:$C$65,2,FALSE),"Revisar"))</f>
        <v/>
      </c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2">
        <f>IF(COUNTA(B562:B562)+COUNTA(D562:E562)+COUNTA(G562:AJ562)=0,"",IF(COUNTBLANK(B562:B562)+COUNTBLANK(D562:E562)+COUNTBLANK(G562:G562)+COUNTBLANK(O562:AJ562)&gt;0,"Faltan "&amp;(COUNTBLANK(B562:B562)+COUNTBLANK(D562:E562)+COUNTBLANK(G562:G562)+COUNTBLANK(O562:AJ562))&amp;" datos obligatorios",IF(NOT(ISNUMBER(B562)),"Fecha no válida",IF(N(B562)&gt;TODAY(),"Fecha futura",IF(IFERROR(VLOOKUP(E562,LISTAS!$A$2:$C$65,3,FALSE),"")&lt;&gt;D562,"La subregión no corresponde al municipio",IF(IF(L562="",FALSE,OR(L562&lt;0,L562&gt;110)),"Edad fuera de rango",IF((V562="Sí")+(W562="Sí")+(X562="Sí")+(Y562="Sí")=0,"Marque al menos un tipo de violencia","OK")))))))</f>
        <v/>
      </c>
    </row>
    <row r="563">
      <c r="A563" s="12">
        <f>IF(OR(F563="",F563="Revisar",C563=""),"",F563&amp;"-"&amp;C563&amp;"-"&amp;TEXT(COUNTIFS($F$2:F563,F563,$C$2:C563,C563),"0000"))</f>
        <v/>
      </c>
      <c r="B563" s="13" t="n"/>
      <c r="C563" s="12">
        <f>IF(ISNUMBER(B563),YEAR(B563),"")</f>
        <v/>
      </c>
      <c r="D563" s="14" t="n"/>
      <c r="E563" s="14" t="n"/>
      <c r="F563" s="12">
        <f>IF(E563="","",IFERROR(VLOOKUP(E563,LISTAS!$A$2:$C$65,2,FALSE),"Revisar"))</f>
        <v/>
      </c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2">
        <f>IF(COUNTA(B563:B563)+COUNTA(D563:E563)+COUNTA(G563:AJ563)=0,"",IF(COUNTBLANK(B563:B563)+COUNTBLANK(D563:E563)+COUNTBLANK(G563:G563)+COUNTBLANK(O563:AJ563)&gt;0,"Faltan "&amp;(COUNTBLANK(B563:B563)+COUNTBLANK(D563:E563)+COUNTBLANK(G563:G563)+COUNTBLANK(O563:AJ563))&amp;" datos obligatorios",IF(NOT(ISNUMBER(B563)),"Fecha no válida",IF(N(B563)&gt;TODAY(),"Fecha futura",IF(IFERROR(VLOOKUP(E563,LISTAS!$A$2:$C$65,3,FALSE),"")&lt;&gt;D563,"La subregión no corresponde al municipio",IF(IF(L563="",FALSE,OR(L563&lt;0,L563&gt;110)),"Edad fuera de rango",IF((V563="Sí")+(W563="Sí")+(X563="Sí")+(Y563="Sí")=0,"Marque al menos un tipo de violencia","OK")))))))</f>
        <v/>
      </c>
    </row>
    <row r="564">
      <c r="A564" s="12">
        <f>IF(OR(F564="",F564="Revisar",C564=""),"",F564&amp;"-"&amp;C564&amp;"-"&amp;TEXT(COUNTIFS($F$2:F564,F564,$C$2:C564,C564),"0000"))</f>
        <v/>
      </c>
      <c r="B564" s="13" t="n"/>
      <c r="C564" s="12">
        <f>IF(ISNUMBER(B564),YEAR(B564),"")</f>
        <v/>
      </c>
      <c r="D564" s="14" t="n"/>
      <c r="E564" s="14" t="n"/>
      <c r="F564" s="12">
        <f>IF(E564="","",IFERROR(VLOOKUP(E564,LISTAS!$A$2:$C$65,2,FALSE),"Revisar"))</f>
        <v/>
      </c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2">
        <f>IF(COUNTA(B564:B564)+COUNTA(D564:E564)+COUNTA(G564:AJ564)=0,"",IF(COUNTBLANK(B564:B564)+COUNTBLANK(D564:E564)+COUNTBLANK(G564:G564)+COUNTBLANK(O564:AJ564)&gt;0,"Faltan "&amp;(COUNTBLANK(B564:B564)+COUNTBLANK(D564:E564)+COUNTBLANK(G564:G564)+COUNTBLANK(O564:AJ564))&amp;" datos obligatorios",IF(NOT(ISNUMBER(B564)),"Fecha no válida",IF(N(B564)&gt;TODAY(),"Fecha futura",IF(IFERROR(VLOOKUP(E564,LISTAS!$A$2:$C$65,3,FALSE),"")&lt;&gt;D564,"La subregión no corresponde al municipio",IF(IF(L564="",FALSE,OR(L564&lt;0,L564&gt;110)),"Edad fuera de rango",IF((V564="Sí")+(W564="Sí")+(X564="Sí")+(Y564="Sí")=0,"Marque al menos un tipo de violencia","OK")))))))</f>
        <v/>
      </c>
    </row>
    <row r="565">
      <c r="A565" s="12">
        <f>IF(OR(F565="",F565="Revisar",C565=""),"",F565&amp;"-"&amp;C565&amp;"-"&amp;TEXT(COUNTIFS($F$2:F565,F565,$C$2:C565,C565),"0000"))</f>
        <v/>
      </c>
      <c r="B565" s="13" t="n"/>
      <c r="C565" s="12">
        <f>IF(ISNUMBER(B565),YEAR(B565),"")</f>
        <v/>
      </c>
      <c r="D565" s="14" t="n"/>
      <c r="E565" s="14" t="n"/>
      <c r="F565" s="12">
        <f>IF(E565="","",IFERROR(VLOOKUP(E565,LISTAS!$A$2:$C$65,2,FALSE),"Revisar"))</f>
        <v/>
      </c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2">
        <f>IF(COUNTA(B565:B565)+COUNTA(D565:E565)+COUNTA(G565:AJ565)=0,"",IF(COUNTBLANK(B565:B565)+COUNTBLANK(D565:E565)+COUNTBLANK(G565:G565)+COUNTBLANK(O565:AJ565)&gt;0,"Faltan "&amp;(COUNTBLANK(B565:B565)+COUNTBLANK(D565:E565)+COUNTBLANK(G565:G565)+COUNTBLANK(O565:AJ565))&amp;" datos obligatorios",IF(NOT(ISNUMBER(B565)),"Fecha no válida",IF(N(B565)&gt;TODAY(),"Fecha futura",IF(IFERROR(VLOOKUP(E565,LISTAS!$A$2:$C$65,3,FALSE),"")&lt;&gt;D565,"La subregión no corresponde al municipio",IF(IF(L565="",FALSE,OR(L565&lt;0,L565&gt;110)),"Edad fuera de rango",IF((V565="Sí")+(W565="Sí")+(X565="Sí")+(Y565="Sí")=0,"Marque al menos un tipo de violencia","OK")))))))</f>
        <v/>
      </c>
    </row>
    <row r="566">
      <c r="A566" s="12">
        <f>IF(OR(F566="",F566="Revisar",C566=""),"",F566&amp;"-"&amp;C566&amp;"-"&amp;TEXT(COUNTIFS($F$2:F566,F566,$C$2:C566,C566),"0000"))</f>
        <v/>
      </c>
      <c r="B566" s="13" t="n"/>
      <c r="C566" s="12">
        <f>IF(ISNUMBER(B566),YEAR(B566),"")</f>
        <v/>
      </c>
      <c r="D566" s="14" t="n"/>
      <c r="E566" s="14" t="n"/>
      <c r="F566" s="12">
        <f>IF(E566="","",IFERROR(VLOOKUP(E566,LISTAS!$A$2:$C$65,2,FALSE),"Revisar"))</f>
        <v/>
      </c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2">
        <f>IF(COUNTA(B566:B566)+COUNTA(D566:E566)+COUNTA(G566:AJ566)=0,"",IF(COUNTBLANK(B566:B566)+COUNTBLANK(D566:E566)+COUNTBLANK(G566:G566)+COUNTBLANK(O566:AJ566)&gt;0,"Faltan "&amp;(COUNTBLANK(B566:B566)+COUNTBLANK(D566:E566)+COUNTBLANK(G566:G566)+COUNTBLANK(O566:AJ566))&amp;" datos obligatorios",IF(NOT(ISNUMBER(B566)),"Fecha no válida",IF(N(B566)&gt;TODAY(),"Fecha futura",IF(IFERROR(VLOOKUP(E566,LISTAS!$A$2:$C$65,3,FALSE),"")&lt;&gt;D566,"La subregión no corresponde al municipio",IF(IF(L566="",FALSE,OR(L566&lt;0,L566&gt;110)),"Edad fuera de rango",IF((V566="Sí")+(W566="Sí")+(X566="Sí")+(Y566="Sí")=0,"Marque al menos un tipo de violencia","OK")))))))</f>
        <v/>
      </c>
    </row>
    <row r="567">
      <c r="A567" s="12">
        <f>IF(OR(F567="",F567="Revisar",C567=""),"",F567&amp;"-"&amp;C567&amp;"-"&amp;TEXT(COUNTIFS($F$2:F567,F567,$C$2:C567,C567),"0000"))</f>
        <v/>
      </c>
      <c r="B567" s="13" t="n"/>
      <c r="C567" s="12">
        <f>IF(ISNUMBER(B567),YEAR(B567),"")</f>
        <v/>
      </c>
      <c r="D567" s="14" t="n"/>
      <c r="E567" s="14" t="n"/>
      <c r="F567" s="12">
        <f>IF(E567="","",IFERROR(VLOOKUP(E567,LISTAS!$A$2:$C$65,2,FALSE),"Revisar"))</f>
        <v/>
      </c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2">
        <f>IF(COUNTA(B567:B567)+COUNTA(D567:E567)+COUNTA(G567:AJ567)=0,"",IF(COUNTBLANK(B567:B567)+COUNTBLANK(D567:E567)+COUNTBLANK(G567:G567)+COUNTBLANK(O567:AJ567)&gt;0,"Faltan "&amp;(COUNTBLANK(B567:B567)+COUNTBLANK(D567:E567)+COUNTBLANK(G567:G567)+COUNTBLANK(O567:AJ567))&amp;" datos obligatorios",IF(NOT(ISNUMBER(B567)),"Fecha no válida",IF(N(B567)&gt;TODAY(),"Fecha futura",IF(IFERROR(VLOOKUP(E567,LISTAS!$A$2:$C$65,3,FALSE),"")&lt;&gt;D567,"La subregión no corresponde al municipio",IF(IF(L567="",FALSE,OR(L567&lt;0,L567&gt;110)),"Edad fuera de rango",IF((V567="Sí")+(W567="Sí")+(X567="Sí")+(Y567="Sí")=0,"Marque al menos un tipo de violencia","OK")))))))</f>
        <v/>
      </c>
    </row>
    <row r="568">
      <c r="A568" s="12">
        <f>IF(OR(F568="",F568="Revisar",C568=""),"",F568&amp;"-"&amp;C568&amp;"-"&amp;TEXT(COUNTIFS($F$2:F568,F568,$C$2:C568,C568),"0000"))</f>
        <v/>
      </c>
      <c r="B568" s="13" t="n"/>
      <c r="C568" s="12">
        <f>IF(ISNUMBER(B568),YEAR(B568),"")</f>
        <v/>
      </c>
      <c r="D568" s="14" t="n"/>
      <c r="E568" s="14" t="n"/>
      <c r="F568" s="12">
        <f>IF(E568="","",IFERROR(VLOOKUP(E568,LISTAS!$A$2:$C$65,2,FALSE),"Revisar"))</f>
        <v/>
      </c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2">
        <f>IF(COUNTA(B568:B568)+COUNTA(D568:E568)+COUNTA(G568:AJ568)=0,"",IF(COUNTBLANK(B568:B568)+COUNTBLANK(D568:E568)+COUNTBLANK(G568:G568)+COUNTBLANK(O568:AJ568)&gt;0,"Faltan "&amp;(COUNTBLANK(B568:B568)+COUNTBLANK(D568:E568)+COUNTBLANK(G568:G568)+COUNTBLANK(O568:AJ568))&amp;" datos obligatorios",IF(NOT(ISNUMBER(B568)),"Fecha no válida",IF(N(B568)&gt;TODAY(),"Fecha futura",IF(IFERROR(VLOOKUP(E568,LISTAS!$A$2:$C$65,3,FALSE),"")&lt;&gt;D568,"La subregión no corresponde al municipio",IF(IF(L568="",FALSE,OR(L568&lt;0,L568&gt;110)),"Edad fuera de rango",IF((V568="Sí")+(W568="Sí")+(X568="Sí")+(Y568="Sí")=0,"Marque al menos un tipo de violencia","OK")))))))</f>
        <v/>
      </c>
    </row>
    <row r="569">
      <c r="A569" s="12">
        <f>IF(OR(F569="",F569="Revisar",C569=""),"",F569&amp;"-"&amp;C569&amp;"-"&amp;TEXT(COUNTIFS($F$2:F569,F569,$C$2:C569,C569),"0000"))</f>
        <v/>
      </c>
      <c r="B569" s="13" t="n"/>
      <c r="C569" s="12">
        <f>IF(ISNUMBER(B569),YEAR(B569),"")</f>
        <v/>
      </c>
      <c r="D569" s="14" t="n"/>
      <c r="E569" s="14" t="n"/>
      <c r="F569" s="12">
        <f>IF(E569="","",IFERROR(VLOOKUP(E569,LISTAS!$A$2:$C$65,2,FALSE),"Revisar"))</f>
        <v/>
      </c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2">
        <f>IF(COUNTA(B569:B569)+COUNTA(D569:E569)+COUNTA(G569:AJ569)=0,"",IF(COUNTBLANK(B569:B569)+COUNTBLANK(D569:E569)+COUNTBLANK(G569:G569)+COUNTBLANK(O569:AJ569)&gt;0,"Faltan "&amp;(COUNTBLANK(B569:B569)+COUNTBLANK(D569:E569)+COUNTBLANK(G569:G569)+COUNTBLANK(O569:AJ569))&amp;" datos obligatorios",IF(NOT(ISNUMBER(B569)),"Fecha no válida",IF(N(B569)&gt;TODAY(),"Fecha futura",IF(IFERROR(VLOOKUP(E569,LISTAS!$A$2:$C$65,3,FALSE),"")&lt;&gt;D569,"La subregión no corresponde al municipio",IF(IF(L569="",FALSE,OR(L569&lt;0,L569&gt;110)),"Edad fuera de rango",IF((V569="Sí")+(W569="Sí")+(X569="Sí")+(Y569="Sí")=0,"Marque al menos un tipo de violencia","OK")))))))</f>
        <v/>
      </c>
    </row>
    <row r="570">
      <c r="A570" s="12">
        <f>IF(OR(F570="",F570="Revisar",C570=""),"",F570&amp;"-"&amp;C570&amp;"-"&amp;TEXT(COUNTIFS($F$2:F570,F570,$C$2:C570,C570),"0000"))</f>
        <v/>
      </c>
      <c r="B570" s="13" t="n"/>
      <c r="C570" s="12">
        <f>IF(ISNUMBER(B570),YEAR(B570),"")</f>
        <v/>
      </c>
      <c r="D570" s="14" t="n"/>
      <c r="E570" s="14" t="n"/>
      <c r="F570" s="12">
        <f>IF(E570="","",IFERROR(VLOOKUP(E570,LISTAS!$A$2:$C$65,2,FALSE),"Revisar"))</f>
        <v/>
      </c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2">
        <f>IF(COUNTA(B570:B570)+COUNTA(D570:E570)+COUNTA(G570:AJ570)=0,"",IF(COUNTBLANK(B570:B570)+COUNTBLANK(D570:E570)+COUNTBLANK(G570:G570)+COUNTBLANK(O570:AJ570)&gt;0,"Faltan "&amp;(COUNTBLANK(B570:B570)+COUNTBLANK(D570:E570)+COUNTBLANK(G570:G570)+COUNTBLANK(O570:AJ570))&amp;" datos obligatorios",IF(NOT(ISNUMBER(B570)),"Fecha no válida",IF(N(B570)&gt;TODAY(),"Fecha futura",IF(IFERROR(VLOOKUP(E570,LISTAS!$A$2:$C$65,3,FALSE),"")&lt;&gt;D570,"La subregión no corresponde al municipio",IF(IF(L570="",FALSE,OR(L570&lt;0,L570&gt;110)),"Edad fuera de rango",IF((V570="Sí")+(W570="Sí")+(X570="Sí")+(Y570="Sí")=0,"Marque al menos un tipo de violencia","OK")))))))</f>
        <v/>
      </c>
    </row>
    <row r="571">
      <c r="A571" s="12">
        <f>IF(OR(F571="",F571="Revisar",C571=""),"",F571&amp;"-"&amp;C571&amp;"-"&amp;TEXT(COUNTIFS($F$2:F571,F571,$C$2:C571,C571),"0000"))</f>
        <v/>
      </c>
      <c r="B571" s="13" t="n"/>
      <c r="C571" s="12">
        <f>IF(ISNUMBER(B571),YEAR(B571),"")</f>
        <v/>
      </c>
      <c r="D571" s="14" t="n"/>
      <c r="E571" s="14" t="n"/>
      <c r="F571" s="12">
        <f>IF(E571="","",IFERROR(VLOOKUP(E571,LISTAS!$A$2:$C$65,2,FALSE),"Revisar"))</f>
        <v/>
      </c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2">
        <f>IF(COUNTA(B571:B571)+COUNTA(D571:E571)+COUNTA(G571:AJ571)=0,"",IF(COUNTBLANK(B571:B571)+COUNTBLANK(D571:E571)+COUNTBLANK(G571:G571)+COUNTBLANK(O571:AJ571)&gt;0,"Faltan "&amp;(COUNTBLANK(B571:B571)+COUNTBLANK(D571:E571)+COUNTBLANK(G571:G571)+COUNTBLANK(O571:AJ571))&amp;" datos obligatorios",IF(NOT(ISNUMBER(B571)),"Fecha no válida",IF(N(B571)&gt;TODAY(),"Fecha futura",IF(IFERROR(VLOOKUP(E571,LISTAS!$A$2:$C$65,3,FALSE),"")&lt;&gt;D571,"La subregión no corresponde al municipio",IF(IF(L571="",FALSE,OR(L571&lt;0,L571&gt;110)),"Edad fuera de rango",IF((V571="Sí")+(W571="Sí")+(X571="Sí")+(Y571="Sí")=0,"Marque al menos un tipo de violencia","OK")))))))</f>
        <v/>
      </c>
    </row>
    <row r="572">
      <c r="A572" s="12">
        <f>IF(OR(F572="",F572="Revisar",C572=""),"",F572&amp;"-"&amp;C572&amp;"-"&amp;TEXT(COUNTIFS($F$2:F572,F572,$C$2:C572,C572),"0000"))</f>
        <v/>
      </c>
      <c r="B572" s="13" t="n"/>
      <c r="C572" s="12">
        <f>IF(ISNUMBER(B572),YEAR(B572),"")</f>
        <v/>
      </c>
      <c r="D572" s="14" t="n"/>
      <c r="E572" s="14" t="n"/>
      <c r="F572" s="12">
        <f>IF(E572="","",IFERROR(VLOOKUP(E572,LISTAS!$A$2:$C$65,2,FALSE),"Revisar"))</f>
        <v/>
      </c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2">
        <f>IF(COUNTA(B572:B572)+COUNTA(D572:E572)+COUNTA(G572:AJ572)=0,"",IF(COUNTBLANK(B572:B572)+COUNTBLANK(D572:E572)+COUNTBLANK(G572:G572)+COUNTBLANK(O572:AJ572)&gt;0,"Faltan "&amp;(COUNTBLANK(B572:B572)+COUNTBLANK(D572:E572)+COUNTBLANK(G572:G572)+COUNTBLANK(O572:AJ572))&amp;" datos obligatorios",IF(NOT(ISNUMBER(B572)),"Fecha no válida",IF(N(B572)&gt;TODAY(),"Fecha futura",IF(IFERROR(VLOOKUP(E572,LISTAS!$A$2:$C$65,3,FALSE),"")&lt;&gt;D572,"La subregión no corresponde al municipio",IF(IF(L572="",FALSE,OR(L572&lt;0,L572&gt;110)),"Edad fuera de rango",IF((V572="Sí")+(W572="Sí")+(X572="Sí")+(Y572="Sí")=0,"Marque al menos un tipo de violencia","OK")))))))</f>
        <v/>
      </c>
    </row>
    <row r="573">
      <c r="A573" s="12">
        <f>IF(OR(F573="",F573="Revisar",C573=""),"",F573&amp;"-"&amp;C573&amp;"-"&amp;TEXT(COUNTIFS($F$2:F573,F573,$C$2:C573,C573),"0000"))</f>
        <v/>
      </c>
      <c r="B573" s="13" t="n"/>
      <c r="C573" s="12">
        <f>IF(ISNUMBER(B573),YEAR(B573),"")</f>
        <v/>
      </c>
      <c r="D573" s="14" t="n"/>
      <c r="E573" s="14" t="n"/>
      <c r="F573" s="12">
        <f>IF(E573="","",IFERROR(VLOOKUP(E573,LISTAS!$A$2:$C$65,2,FALSE),"Revisar"))</f>
        <v/>
      </c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2">
        <f>IF(COUNTA(B573:B573)+COUNTA(D573:E573)+COUNTA(G573:AJ573)=0,"",IF(COUNTBLANK(B573:B573)+COUNTBLANK(D573:E573)+COUNTBLANK(G573:G573)+COUNTBLANK(O573:AJ573)&gt;0,"Faltan "&amp;(COUNTBLANK(B573:B573)+COUNTBLANK(D573:E573)+COUNTBLANK(G573:G573)+COUNTBLANK(O573:AJ573))&amp;" datos obligatorios",IF(NOT(ISNUMBER(B573)),"Fecha no válida",IF(N(B573)&gt;TODAY(),"Fecha futura",IF(IFERROR(VLOOKUP(E573,LISTAS!$A$2:$C$65,3,FALSE),"")&lt;&gt;D573,"La subregión no corresponde al municipio",IF(IF(L573="",FALSE,OR(L573&lt;0,L573&gt;110)),"Edad fuera de rango",IF((V573="Sí")+(W573="Sí")+(X573="Sí")+(Y573="Sí")=0,"Marque al menos un tipo de violencia","OK")))))))</f>
        <v/>
      </c>
    </row>
    <row r="574">
      <c r="A574" s="12">
        <f>IF(OR(F574="",F574="Revisar",C574=""),"",F574&amp;"-"&amp;C574&amp;"-"&amp;TEXT(COUNTIFS($F$2:F574,F574,$C$2:C574,C574),"0000"))</f>
        <v/>
      </c>
      <c r="B574" s="13" t="n"/>
      <c r="C574" s="12">
        <f>IF(ISNUMBER(B574),YEAR(B574),"")</f>
        <v/>
      </c>
      <c r="D574" s="14" t="n"/>
      <c r="E574" s="14" t="n"/>
      <c r="F574" s="12">
        <f>IF(E574="","",IFERROR(VLOOKUP(E574,LISTAS!$A$2:$C$65,2,FALSE),"Revisar"))</f>
        <v/>
      </c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2">
        <f>IF(COUNTA(B574:B574)+COUNTA(D574:E574)+COUNTA(G574:AJ574)=0,"",IF(COUNTBLANK(B574:B574)+COUNTBLANK(D574:E574)+COUNTBLANK(G574:G574)+COUNTBLANK(O574:AJ574)&gt;0,"Faltan "&amp;(COUNTBLANK(B574:B574)+COUNTBLANK(D574:E574)+COUNTBLANK(G574:G574)+COUNTBLANK(O574:AJ574))&amp;" datos obligatorios",IF(NOT(ISNUMBER(B574)),"Fecha no válida",IF(N(B574)&gt;TODAY(),"Fecha futura",IF(IFERROR(VLOOKUP(E574,LISTAS!$A$2:$C$65,3,FALSE),"")&lt;&gt;D574,"La subregión no corresponde al municipio",IF(IF(L574="",FALSE,OR(L574&lt;0,L574&gt;110)),"Edad fuera de rango",IF((V574="Sí")+(W574="Sí")+(X574="Sí")+(Y574="Sí")=0,"Marque al menos un tipo de violencia","OK")))))))</f>
        <v/>
      </c>
    </row>
    <row r="575">
      <c r="A575" s="12">
        <f>IF(OR(F575="",F575="Revisar",C575=""),"",F575&amp;"-"&amp;C575&amp;"-"&amp;TEXT(COUNTIFS($F$2:F575,F575,$C$2:C575,C575),"0000"))</f>
        <v/>
      </c>
      <c r="B575" s="13" t="n"/>
      <c r="C575" s="12">
        <f>IF(ISNUMBER(B575),YEAR(B575),"")</f>
        <v/>
      </c>
      <c r="D575" s="14" t="n"/>
      <c r="E575" s="14" t="n"/>
      <c r="F575" s="12">
        <f>IF(E575="","",IFERROR(VLOOKUP(E575,LISTAS!$A$2:$C$65,2,FALSE),"Revisar"))</f>
        <v/>
      </c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2">
        <f>IF(COUNTA(B575:B575)+COUNTA(D575:E575)+COUNTA(G575:AJ575)=0,"",IF(COUNTBLANK(B575:B575)+COUNTBLANK(D575:E575)+COUNTBLANK(G575:G575)+COUNTBLANK(O575:AJ575)&gt;0,"Faltan "&amp;(COUNTBLANK(B575:B575)+COUNTBLANK(D575:E575)+COUNTBLANK(G575:G575)+COUNTBLANK(O575:AJ575))&amp;" datos obligatorios",IF(NOT(ISNUMBER(B575)),"Fecha no válida",IF(N(B575)&gt;TODAY(),"Fecha futura",IF(IFERROR(VLOOKUP(E575,LISTAS!$A$2:$C$65,3,FALSE),"")&lt;&gt;D575,"La subregión no corresponde al municipio",IF(IF(L575="",FALSE,OR(L575&lt;0,L575&gt;110)),"Edad fuera de rango",IF((V575="Sí")+(W575="Sí")+(X575="Sí")+(Y575="Sí")=0,"Marque al menos un tipo de violencia","OK")))))))</f>
        <v/>
      </c>
    </row>
    <row r="576">
      <c r="A576" s="12">
        <f>IF(OR(F576="",F576="Revisar",C576=""),"",F576&amp;"-"&amp;C576&amp;"-"&amp;TEXT(COUNTIFS($F$2:F576,F576,$C$2:C576,C576),"0000"))</f>
        <v/>
      </c>
      <c r="B576" s="13" t="n"/>
      <c r="C576" s="12">
        <f>IF(ISNUMBER(B576),YEAR(B576),"")</f>
        <v/>
      </c>
      <c r="D576" s="14" t="n"/>
      <c r="E576" s="14" t="n"/>
      <c r="F576" s="12">
        <f>IF(E576="","",IFERROR(VLOOKUP(E576,LISTAS!$A$2:$C$65,2,FALSE),"Revisar"))</f>
        <v/>
      </c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2">
        <f>IF(COUNTA(B576:B576)+COUNTA(D576:E576)+COUNTA(G576:AJ576)=0,"",IF(COUNTBLANK(B576:B576)+COUNTBLANK(D576:E576)+COUNTBLANK(G576:G576)+COUNTBLANK(O576:AJ576)&gt;0,"Faltan "&amp;(COUNTBLANK(B576:B576)+COUNTBLANK(D576:E576)+COUNTBLANK(G576:G576)+COUNTBLANK(O576:AJ576))&amp;" datos obligatorios",IF(NOT(ISNUMBER(B576)),"Fecha no válida",IF(N(B576)&gt;TODAY(),"Fecha futura",IF(IFERROR(VLOOKUP(E576,LISTAS!$A$2:$C$65,3,FALSE),"")&lt;&gt;D576,"La subregión no corresponde al municipio",IF(IF(L576="",FALSE,OR(L576&lt;0,L576&gt;110)),"Edad fuera de rango",IF((V576="Sí")+(W576="Sí")+(X576="Sí")+(Y576="Sí")=0,"Marque al menos un tipo de violencia","OK")))))))</f>
        <v/>
      </c>
    </row>
    <row r="577">
      <c r="A577" s="12">
        <f>IF(OR(F577="",F577="Revisar",C577=""),"",F577&amp;"-"&amp;C577&amp;"-"&amp;TEXT(COUNTIFS($F$2:F577,F577,$C$2:C577,C577),"0000"))</f>
        <v/>
      </c>
      <c r="B577" s="13" t="n"/>
      <c r="C577" s="12">
        <f>IF(ISNUMBER(B577),YEAR(B577),"")</f>
        <v/>
      </c>
      <c r="D577" s="14" t="n"/>
      <c r="E577" s="14" t="n"/>
      <c r="F577" s="12">
        <f>IF(E577="","",IFERROR(VLOOKUP(E577,LISTAS!$A$2:$C$65,2,FALSE),"Revisar"))</f>
        <v/>
      </c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2">
        <f>IF(COUNTA(B577:B577)+COUNTA(D577:E577)+COUNTA(G577:AJ577)=0,"",IF(COUNTBLANK(B577:B577)+COUNTBLANK(D577:E577)+COUNTBLANK(G577:G577)+COUNTBLANK(O577:AJ577)&gt;0,"Faltan "&amp;(COUNTBLANK(B577:B577)+COUNTBLANK(D577:E577)+COUNTBLANK(G577:G577)+COUNTBLANK(O577:AJ577))&amp;" datos obligatorios",IF(NOT(ISNUMBER(B577)),"Fecha no válida",IF(N(B577)&gt;TODAY(),"Fecha futura",IF(IFERROR(VLOOKUP(E577,LISTAS!$A$2:$C$65,3,FALSE),"")&lt;&gt;D577,"La subregión no corresponde al municipio",IF(IF(L577="",FALSE,OR(L577&lt;0,L577&gt;110)),"Edad fuera de rango",IF((V577="Sí")+(W577="Sí")+(X577="Sí")+(Y577="Sí")=0,"Marque al menos un tipo de violencia","OK")))))))</f>
        <v/>
      </c>
    </row>
    <row r="578">
      <c r="A578" s="12">
        <f>IF(OR(F578="",F578="Revisar",C578=""),"",F578&amp;"-"&amp;C578&amp;"-"&amp;TEXT(COUNTIFS($F$2:F578,F578,$C$2:C578,C578),"0000"))</f>
        <v/>
      </c>
      <c r="B578" s="13" t="n"/>
      <c r="C578" s="12">
        <f>IF(ISNUMBER(B578),YEAR(B578),"")</f>
        <v/>
      </c>
      <c r="D578" s="14" t="n"/>
      <c r="E578" s="14" t="n"/>
      <c r="F578" s="12">
        <f>IF(E578="","",IFERROR(VLOOKUP(E578,LISTAS!$A$2:$C$65,2,FALSE),"Revisar"))</f>
        <v/>
      </c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2">
        <f>IF(COUNTA(B578:B578)+COUNTA(D578:E578)+COUNTA(G578:AJ578)=0,"",IF(COUNTBLANK(B578:B578)+COUNTBLANK(D578:E578)+COUNTBLANK(G578:G578)+COUNTBLANK(O578:AJ578)&gt;0,"Faltan "&amp;(COUNTBLANK(B578:B578)+COUNTBLANK(D578:E578)+COUNTBLANK(G578:G578)+COUNTBLANK(O578:AJ578))&amp;" datos obligatorios",IF(NOT(ISNUMBER(B578)),"Fecha no válida",IF(N(B578)&gt;TODAY(),"Fecha futura",IF(IFERROR(VLOOKUP(E578,LISTAS!$A$2:$C$65,3,FALSE),"")&lt;&gt;D578,"La subregión no corresponde al municipio",IF(IF(L578="",FALSE,OR(L578&lt;0,L578&gt;110)),"Edad fuera de rango",IF((V578="Sí")+(W578="Sí")+(X578="Sí")+(Y578="Sí")=0,"Marque al menos un tipo de violencia","OK")))))))</f>
        <v/>
      </c>
    </row>
    <row r="579">
      <c r="A579" s="12">
        <f>IF(OR(F579="",F579="Revisar",C579=""),"",F579&amp;"-"&amp;C579&amp;"-"&amp;TEXT(COUNTIFS($F$2:F579,F579,$C$2:C579,C579),"0000"))</f>
        <v/>
      </c>
      <c r="B579" s="13" t="n"/>
      <c r="C579" s="12">
        <f>IF(ISNUMBER(B579),YEAR(B579),"")</f>
        <v/>
      </c>
      <c r="D579" s="14" t="n"/>
      <c r="E579" s="14" t="n"/>
      <c r="F579" s="12">
        <f>IF(E579="","",IFERROR(VLOOKUP(E579,LISTAS!$A$2:$C$65,2,FALSE),"Revisar"))</f>
        <v/>
      </c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2">
        <f>IF(COUNTA(B579:B579)+COUNTA(D579:E579)+COUNTA(G579:AJ579)=0,"",IF(COUNTBLANK(B579:B579)+COUNTBLANK(D579:E579)+COUNTBLANK(G579:G579)+COUNTBLANK(O579:AJ579)&gt;0,"Faltan "&amp;(COUNTBLANK(B579:B579)+COUNTBLANK(D579:E579)+COUNTBLANK(G579:G579)+COUNTBLANK(O579:AJ579))&amp;" datos obligatorios",IF(NOT(ISNUMBER(B579)),"Fecha no válida",IF(N(B579)&gt;TODAY(),"Fecha futura",IF(IFERROR(VLOOKUP(E579,LISTAS!$A$2:$C$65,3,FALSE),"")&lt;&gt;D579,"La subregión no corresponde al municipio",IF(IF(L579="",FALSE,OR(L579&lt;0,L579&gt;110)),"Edad fuera de rango",IF((V579="Sí")+(W579="Sí")+(X579="Sí")+(Y579="Sí")=0,"Marque al menos un tipo de violencia","OK")))))))</f>
        <v/>
      </c>
    </row>
    <row r="580">
      <c r="A580" s="12">
        <f>IF(OR(F580="",F580="Revisar",C580=""),"",F580&amp;"-"&amp;C580&amp;"-"&amp;TEXT(COUNTIFS($F$2:F580,F580,$C$2:C580,C580),"0000"))</f>
        <v/>
      </c>
      <c r="B580" s="13" t="n"/>
      <c r="C580" s="12">
        <f>IF(ISNUMBER(B580),YEAR(B580),"")</f>
        <v/>
      </c>
      <c r="D580" s="14" t="n"/>
      <c r="E580" s="14" t="n"/>
      <c r="F580" s="12">
        <f>IF(E580="","",IFERROR(VLOOKUP(E580,LISTAS!$A$2:$C$65,2,FALSE),"Revisar"))</f>
        <v/>
      </c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2">
        <f>IF(COUNTA(B580:B580)+COUNTA(D580:E580)+COUNTA(G580:AJ580)=0,"",IF(COUNTBLANK(B580:B580)+COUNTBLANK(D580:E580)+COUNTBLANK(G580:G580)+COUNTBLANK(O580:AJ580)&gt;0,"Faltan "&amp;(COUNTBLANK(B580:B580)+COUNTBLANK(D580:E580)+COUNTBLANK(G580:G580)+COUNTBLANK(O580:AJ580))&amp;" datos obligatorios",IF(NOT(ISNUMBER(B580)),"Fecha no válida",IF(N(B580)&gt;TODAY(),"Fecha futura",IF(IFERROR(VLOOKUP(E580,LISTAS!$A$2:$C$65,3,FALSE),"")&lt;&gt;D580,"La subregión no corresponde al municipio",IF(IF(L580="",FALSE,OR(L580&lt;0,L580&gt;110)),"Edad fuera de rango",IF((V580="Sí")+(W580="Sí")+(X580="Sí")+(Y580="Sí")=0,"Marque al menos un tipo de violencia","OK")))))))</f>
        <v/>
      </c>
    </row>
    <row r="581">
      <c r="A581" s="12">
        <f>IF(OR(F581="",F581="Revisar",C581=""),"",F581&amp;"-"&amp;C581&amp;"-"&amp;TEXT(COUNTIFS($F$2:F581,F581,$C$2:C581,C581),"0000"))</f>
        <v/>
      </c>
      <c r="B581" s="13" t="n"/>
      <c r="C581" s="12">
        <f>IF(ISNUMBER(B581),YEAR(B581),"")</f>
        <v/>
      </c>
      <c r="D581" s="14" t="n"/>
      <c r="E581" s="14" t="n"/>
      <c r="F581" s="12">
        <f>IF(E581="","",IFERROR(VLOOKUP(E581,LISTAS!$A$2:$C$65,2,FALSE),"Revisar"))</f>
        <v/>
      </c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2">
        <f>IF(COUNTA(B581:B581)+COUNTA(D581:E581)+COUNTA(G581:AJ581)=0,"",IF(COUNTBLANK(B581:B581)+COUNTBLANK(D581:E581)+COUNTBLANK(G581:G581)+COUNTBLANK(O581:AJ581)&gt;0,"Faltan "&amp;(COUNTBLANK(B581:B581)+COUNTBLANK(D581:E581)+COUNTBLANK(G581:G581)+COUNTBLANK(O581:AJ581))&amp;" datos obligatorios",IF(NOT(ISNUMBER(B581)),"Fecha no válida",IF(N(B581)&gt;TODAY(),"Fecha futura",IF(IFERROR(VLOOKUP(E581,LISTAS!$A$2:$C$65,3,FALSE),"")&lt;&gt;D581,"La subregión no corresponde al municipio",IF(IF(L581="",FALSE,OR(L581&lt;0,L581&gt;110)),"Edad fuera de rango",IF((V581="Sí")+(W581="Sí")+(X581="Sí")+(Y581="Sí")=0,"Marque al menos un tipo de violencia","OK")))))))</f>
        <v/>
      </c>
    </row>
    <row r="582">
      <c r="A582" s="12">
        <f>IF(OR(F582="",F582="Revisar",C582=""),"",F582&amp;"-"&amp;C582&amp;"-"&amp;TEXT(COUNTIFS($F$2:F582,F582,$C$2:C582,C582),"0000"))</f>
        <v/>
      </c>
      <c r="B582" s="13" t="n"/>
      <c r="C582" s="12">
        <f>IF(ISNUMBER(B582),YEAR(B582),"")</f>
        <v/>
      </c>
      <c r="D582" s="14" t="n"/>
      <c r="E582" s="14" t="n"/>
      <c r="F582" s="12">
        <f>IF(E582="","",IFERROR(VLOOKUP(E582,LISTAS!$A$2:$C$65,2,FALSE),"Revisar"))</f>
        <v/>
      </c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2">
        <f>IF(COUNTA(B582:B582)+COUNTA(D582:E582)+COUNTA(G582:AJ582)=0,"",IF(COUNTBLANK(B582:B582)+COUNTBLANK(D582:E582)+COUNTBLANK(G582:G582)+COUNTBLANK(O582:AJ582)&gt;0,"Faltan "&amp;(COUNTBLANK(B582:B582)+COUNTBLANK(D582:E582)+COUNTBLANK(G582:G582)+COUNTBLANK(O582:AJ582))&amp;" datos obligatorios",IF(NOT(ISNUMBER(B582)),"Fecha no válida",IF(N(B582)&gt;TODAY(),"Fecha futura",IF(IFERROR(VLOOKUP(E582,LISTAS!$A$2:$C$65,3,FALSE),"")&lt;&gt;D582,"La subregión no corresponde al municipio",IF(IF(L582="",FALSE,OR(L582&lt;0,L582&gt;110)),"Edad fuera de rango",IF((V582="Sí")+(W582="Sí")+(X582="Sí")+(Y582="Sí")=0,"Marque al menos un tipo de violencia","OK")))))))</f>
        <v/>
      </c>
    </row>
    <row r="583">
      <c r="A583" s="12">
        <f>IF(OR(F583="",F583="Revisar",C583=""),"",F583&amp;"-"&amp;C583&amp;"-"&amp;TEXT(COUNTIFS($F$2:F583,F583,$C$2:C583,C583),"0000"))</f>
        <v/>
      </c>
      <c r="B583" s="13" t="n"/>
      <c r="C583" s="12">
        <f>IF(ISNUMBER(B583),YEAR(B583),"")</f>
        <v/>
      </c>
      <c r="D583" s="14" t="n"/>
      <c r="E583" s="14" t="n"/>
      <c r="F583" s="12">
        <f>IF(E583="","",IFERROR(VLOOKUP(E583,LISTAS!$A$2:$C$65,2,FALSE),"Revisar"))</f>
        <v/>
      </c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2">
        <f>IF(COUNTA(B583:B583)+COUNTA(D583:E583)+COUNTA(G583:AJ583)=0,"",IF(COUNTBLANK(B583:B583)+COUNTBLANK(D583:E583)+COUNTBLANK(G583:G583)+COUNTBLANK(O583:AJ583)&gt;0,"Faltan "&amp;(COUNTBLANK(B583:B583)+COUNTBLANK(D583:E583)+COUNTBLANK(G583:G583)+COUNTBLANK(O583:AJ583))&amp;" datos obligatorios",IF(NOT(ISNUMBER(B583)),"Fecha no válida",IF(N(B583)&gt;TODAY(),"Fecha futura",IF(IFERROR(VLOOKUP(E583,LISTAS!$A$2:$C$65,3,FALSE),"")&lt;&gt;D583,"La subregión no corresponde al municipio",IF(IF(L583="",FALSE,OR(L583&lt;0,L583&gt;110)),"Edad fuera de rango",IF((V583="Sí")+(W583="Sí")+(X583="Sí")+(Y583="Sí")=0,"Marque al menos un tipo de violencia","OK")))))))</f>
        <v/>
      </c>
    </row>
    <row r="584">
      <c r="A584" s="12">
        <f>IF(OR(F584="",F584="Revisar",C584=""),"",F584&amp;"-"&amp;C584&amp;"-"&amp;TEXT(COUNTIFS($F$2:F584,F584,$C$2:C584,C584),"0000"))</f>
        <v/>
      </c>
      <c r="B584" s="13" t="n"/>
      <c r="C584" s="12">
        <f>IF(ISNUMBER(B584),YEAR(B584),"")</f>
        <v/>
      </c>
      <c r="D584" s="14" t="n"/>
      <c r="E584" s="14" t="n"/>
      <c r="F584" s="12">
        <f>IF(E584="","",IFERROR(VLOOKUP(E584,LISTAS!$A$2:$C$65,2,FALSE),"Revisar"))</f>
        <v/>
      </c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2">
        <f>IF(COUNTA(B584:B584)+COUNTA(D584:E584)+COUNTA(G584:AJ584)=0,"",IF(COUNTBLANK(B584:B584)+COUNTBLANK(D584:E584)+COUNTBLANK(G584:G584)+COUNTBLANK(O584:AJ584)&gt;0,"Faltan "&amp;(COUNTBLANK(B584:B584)+COUNTBLANK(D584:E584)+COUNTBLANK(G584:G584)+COUNTBLANK(O584:AJ584))&amp;" datos obligatorios",IF(NOT(ISNUMBER(B584)),"Fecha no válida",IF(N(B584)&gt;TODAY(),"Fecha futura",IF(IFERROR(VLOOKUP(E584,LISTAS!$A$2:$C$65,3,FALSE),"")&lt;&gt;D584,"La subregión no corresponde al municipio",IF(IF(L584="",FALSE,OR(L584&lt;0,L584&gt;110)),"Edad fuera de rango",IF((V584="Sí")+(W584="Sí")+(X584="Sí")+(Y584="Sí")=0,"Marque al menos un tipo de violencia","OK")))))))</f>
        <v/>
      </c>
    </row>
    <row r="585">
      <c r="A585" s="12">
        <f>IF(OR(F585="",F585="Revisar",C585=""),"",F585&amp;"-"&amp;C585&amp;"-"&amp;TEXT(COUNTIFS($F$2:F585,F585,$C$2:C585,C585),"0000"))</f>
        <v/>
      </c>
      <c r="B585" s="13" t="n"/>
      <c r="C585" s="12">
        <f>IF(ISNUMBER(B585),YEAR(B585),"")</f>
        <v/>
      </c>
      <c r="D585" s="14" t="n"/>
      <c r="E585" s="14" t="n"/>
      <c r="F585" s="12">
        <f>IF(E585="","",IFERROR(VLOOKUP(E585,LISTAS!$A$2:$C$65,2,FALSE),"Revisar"))</f>
        <v/>
      </c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2">
        <f>IF(COUNTA(B585:B585)+COUNTA(D585:E585)+COUNTA(G585:AJ585)=0,"",IF(COUNTBLANK(B585:B585)+COUNTBLANK(D585:E585)+COUNTBLANK(G585:G585)+COUNTBLANK(O585:AJ585)&gt;0,"Faltan "&amp;(COUNTBLANK(B585:B585)+COUNTBLANK(D585:E585)+COUNTBLANK(G585:G585)+COUNTBLANK(O585:AJ585))&amp;" datos obligatorios",IF(NOT(ISNUMBER(B585)),"Fecha no válida",IF(N(B585)&gt;TODAY(),"Fecha futura",IF(IFERROR(VLOOKUP(E585,LISTAS!$A$2:$C$65,3,FALSE),"")&lt;&gt;D585,"La subregión no corresponde al municipio",IF(IF(L585="",FALSE,OR(L585&lt;0,L585&gt;110)),"Edad fuera de rango",IF((V585="Sí")+(W585="Sí")+(X585="Sí")+(Y585="Sí")=0,"Marque al menos un tipo de violencia","OK")))))))</f>
        <v/>
      </c>
    </row>
    <row r="586">
      <c r="A586" s="12">
        <f>IF(OR(F586="",F586="Revisar",C586=""),"",F586&amp;"-"&amp;C586&amp;"-"&amp;TEXT(COUNTIFS($F$2:F586,F586,$C$2:C586,C586),"0000"))</f>
        <v/>
      </c>
      <c r="B586" s="13" t="n"/>
      <c r="C586" s="12">
        <f>IF(ISNUMBER(B586),YEAR(B586),"")</f>
        <v/>
      </c>
      <c r="D586" s="14" t="n"/>
      <c r="E586" s="14" t="n"/>
      <c r="F586" s="12">
        <f>IF(E586="","",IFERROR(VLOOKUP(E586,LISTAS!$A$2:$C$65,2,FALSE),"Revisar"))</f>
        <v/>
      </c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2">
        <f>IF(COUNTA(B586:B586)+COUNTA(D586:E586)+COUNTA(G586:AJ586)=0,"",IF(COUNTBLANK(B586:B586)+COUNTBLANK(D586:E586)+COUNTBLANK(G586:G586)+COUNTBLANK(O586:AJ586)&gt;0,"Faltan "&amp;(COUNTBLANK(B586:B586)+COUNTBLANK(D586:E586)+COUNTBLANK(G586:G586)+COUNTBLANK(O586:AJ586))&amp;" datos obligatorios",IF(NOT(ISNUMBER(B586)),"Fecha no válida",IF(N(B586)&gt;TODAY(),"Fecha futura",IF(IFERROR(VLOOKUP(E586,LISTAS!$A$2:$C$65,3,FALSE),"")&lt;&gt;D586,"La subregión no corresponde al municipio",IF(IF(L586="",FALSE,OR(L586&lt;0,L586&gt;110)),"Edad fuera de rango",IF((V586="Sí")+(W586="Sí")+(X586="Sí")+(Y586="Sí")=0,"Marque al menos un tipo de violencia","OK")))))))</f>
        <v/>
      </c>
    </row>
    <row r="587">
      <c r="A587" s="12">
        <f>IF(OR(F587="",F587="Revisar",C587=""),"",F587&amp;"-"&amp;C587&amp;"-"&amp;TEXT(COUNTIFS($F$2:F587,F587,$C$2:C587,C587),"0000"))</f>
        <v/>
      </c>
      <c r="B587" s="13" t="n"/>
      <c r="C587" s="12">
        <f>IF(ISNUMBER(B587),YEAR(B587),"")</f>
        <v/>
      </c>
      <c r="D587" s="14" t="n"/>
      <c r="E587" s="14" t="n"/>
      <c r="F587" s="12">
        <f>IF(E587="","",IFERROR(VLOOKUP(E587,LISTAS!$A$2:$C$65,2,FALSE),"Revisar"))</f>
        <v/>
      </c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2">
        <f>IF(COUNTA(B587:B587)+COUNTA(D587:E587)+COUNTA(G587:AJ587)=0,"",IF(COUNTBLANK(B587:B587)+COUNTBLANK(D587:E587)+COUNTBLANK(G587:G587)+COUNTBLANK(O587:AJ587)&gt;0,"Faltan "&amp;(COUNTBLANK(B587:B587)+COUNTBLANK(D587:E587)+COUNTBLANK(G587:G587)+COUNTBLANK(O587:AJ587))&amp;" datos obligatorios",IF(NOT(ISNUMBER(B587)),"Fecha no válida",IF(N(B587)&gt;TODAY(),"Fecha futura",IF(IFERROR(VLOOKUP(E587,LISTAS!$A$2:$C$65,3,FALSE),"")&lt;&gt;D587,"La subregión no corresponde al municipio",IF(IF(L587="",FALSE,OR(L587&lt;0,L587&gt;110)),"Edad fuera de rango",IF((V587="Sí")+(W587="Sí")+(X587="Sí")+(Y587="Sí")=0,"Marque al menos un tipo de violencia","OK")))))))</f>
        <v/>
      </c>
    </row>
    <row r="588">
      <c r="A588" s="12">
        <f>IF(OR(F588="",F588="Revisar",C588=""),"",F588&amp;"-"&amp;C588&amp;"-"&amp;TEXT(COUNTIFS($F$2:F588,F588,$C$2:C588,C588),"0000"))</f>
        <v/>
      </c>
      <c r="B588" s="13" t="n"/>
      <c r="C588" s="12">
        <f>IF(ISNUMBER(B588),YEAR(B588),"")</f>
        <v/>
      </c>
      <c r="D588" s="14" t="n"/>
      <c r="E588" s="14" t="n"/>
      <c r="F588" s="12">
        <f>IF(E588="","",IFERROR(VLOOKUP(E588,LISTAS!$A$2:$C$65,2,FALSE),"Revisar"))</f>
        <v/>
      </c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2">
        <f>IF(COUNTA(B588:B588)+COUNTA(D588:E588)+COUNTA(G588:AJ588)=0,"",IF(COUNTBLANK(B588:B588)+COUNTBLANK(D588:E588)+COUNTBLANK(G588:G588)+COUNTBLANK(O588:AJ588)&gt;0,"Faltan "&amp;(COUNTBLANK(B588:B588)+COUNTBLANK(D588:E588)+COUNTBLANK(G588:G588)+COUNTBLANK(O588:AJ588))&amp;" datos obligatorios",IF(NOT(ISNUMBER(B588)),"Fecha no válida",IF(N(B588)&gt;TODAY(),"Fecha futura",IF(IFERROR(VLOOKUP(E588,LISTAS!$A$2:$C$65,3,FALSE),"")&lt;&gt;D588,"La subregión no corresponde al municipio",IF(IF(L588="",FALSE,OR(L588&lt;0,L588&gt;110)),"Edad fuera de rango",IF((V588="Sí")+(W588="Sí")+(X588="Sí")+(Y588="Sí")=0,"Marque al menos un tipo de violencia","OK")))))))</f>
        <v/>
      </c>
    </row>
    <row r="589">
      <c r="A589" s="12">
        <f>IF(OR(F589="",F589="Revisar",C589=""),"",F589&amp;"-"&amp;C589&amp;"-"&amp;TEXT(COUNTIFS($F$2:F589,F589,$C$2:C589,C589),"0000"))</f>
        <v/>
      </c>
      <c r="B589" s="13" t="n"/>
      <c r="C589" s="12">
        <f>IF(ISNUMBER(B589),YEAR(B589),"")</f>
        <v/>
      </c>
      <c r="D589" s="14" t="n"/>
      <c r="E589" s="14" t="n"/>
      <c r="F589" s="12">
        <f>IF(E589="","",IFERROR(VLOOKUP(E589,LISTAS!$A$2:$C$65,2,FALSE),"Revisar"))</f>
        <v/>
      </c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2">
        <f>IF(COUNTA(B589:B589)+COUNTA(D589:E589)+COUNTA(G589:AJ589)=0,"",IF(COUNTBLANK(B589:B589)+COUNTBLANK(D589:E589)+COUNTBLANK(G589:G589)+COUNTBLANK(O589:AJ589)&gt;0,"Faltan "&amp;(COUNTBLANK(B589:B589)+COUNTBLANK(D589:E589)+COUNTBLANK(G589:G589)+COUNTBLANK(O589:AJ589))&amp;" datos obligatorios",IF(NOT(ISNUMBER(B589)),"Fecha no válida",IF(N(B589)&gt;TODAY(),"Fecha futura",IF(IFERROR(VLOOKUP(E589,LISTAS!$A$2:$C$65,3,FALSE),"")&lt;&gt;D589,"La subregión no corresponde al municipio",IF(IF(L589="",FALSE,OR(L589&lt;0,L589&gt;110)),"Edad fuera de rango",IF((V589="Sí")+(W589="Sí")+(X589="Sí")+(Y589="Sí")=0,"Marque al menos un tipo de violencia","OK")))))))</f>
        <v/>
      </c>
    </row>
    <row r="590">
      <c r="A590" s="12">
        <f>IF(OR(F590="",F590="Revisar",C590=""),"",F590&amp;"-"&amp;C590&amp;"-"&amp;TEXT(COUNTIFS($F$2:F590,F590,$C$2:C590,C590),"0000"))</f>
        <v/>
      </c>
      <c r="B590" s="13" t="n"/>
      <c r="C590" s="12">
        <f>IF(ISNUMBER(B590),YEAR(B590),"")</f>
        <v/>
      </c>
      <c r="D590" s="14" t="n"/>
      <c r="E590" s="14" t="n"/>
      <c r="F590" s="12">
        <f>IF(E590="","",IFERROR(VLOOKUP(E590,LISTAS!$A$2:$C$65,2,FALSE),"Revisar"))</f>
        <v/>
      </c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2">
        <f>IF(COUNTA(B590:B590)+COUNTA(D590:E590)+COUNTA(G590:AJ590)=0,"",IF(COUNTBLANK(B590:B590)+COUNTBLANK(D590:E590)+COUNTBLANK(G590:G590)+COUNTBLANK(O590:AJ590)&gt;0,"Faltan "&amp;(COUNTBLANK(B590:B590)+COUNTBLANK(D590:E590)+COUNTBLANK(G590:G590)+COUNTBLANK(O590:AJ590))&amp;" datos obligatorios",IF(NOT(ISNUMBER(B590)),"Fecha no válida",IF(N(B590)&gt;TODAY(),"Fecha futura",IF(IFERROR(VLOOKUP(E590,LISTAS!$A$2:$C$65,3,FALSE),"")&lt;&gt;D590,"La subregión no corresponde al municipio",IF(IF(L590="",FALSE,OR(L590&lt;0,L590&gt;110)),"Edad fuera de rango",IF((V590="Sí")+(W590="Sí")+(X590="Sí")+(Y590="Sí")=0,"Marque al menos un tipo de violencia","OK")))))))</f>
        <v/>
      </c>
    </row>
    <row r="591">
      <c r="A591" s="12">
        <f>IF(OR(F591="",F591="Revisar",C591=""),"",F591&amp;"-"&amp;C591&amp;"-"&amp;TEXT(COUNTIFS($F$2:F591,F591,$C$2:C591,C591),"0000"))</f>
        <v/>
      </c>
      <c r="B591" s="13" t="n"/>
      <c r="C591" s="12">
        <f>IF(ISNUMBER(B591),YEAR(B591),"")</f>
        <v/>
      </c>
      <c r="D591" s="14" t="n"/>
      <c r="E591" s="14" t="n"/>
      <c r="F591" s="12">
        <f>IF(E591="","",IFERROR(VLOOKUP(E591,LISTAS!$A$2:$C$65,2,FALSE),"Revisar"))</f>
        <v/>
      </c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2">
        <f>IF(COUNTA(B591:B591)+COUNTA(D591:E591)+COUNTA(G591:AJ591)=0,"",IF(COUNTBLANK(B591:B591)+COUNTBLANK(D591:E591)+COUNTBLANK(G591:G591)+COUNTBLANK(O591:AJ591)&gt;0,"Faltan "&amp;(COUNTBLANK(B591:B591)+COUNTBLANK(D591:E591)+COUNTBLANK(G591:G591)+COUNTBLANK(O591:AJ591))&amp;" datos obligatorios",IF(NOT(ISNUMBER(B591)),"Fecha no válida",IF(N(B591)&gt;TODAY(),"Fecha futura",IF(IFERROR(VLOOKUP(E591,LISTAS!$A$2:$C$65,3,FALSE),"")&lt;&gt;D591,"La subregión no corresponde al municipio",IF(IF(L591="",FALSE,OR(L591&lt;0,L591&gt;110)),"Edad fuera de rango",IF((V591="Sí")+(W591="Sí")+(X591="Sí")+(Y591="Sí")=0,"Marque al menos un tipo de violencia","OK")))))))</f>
        <v/>
      </c>
    </row>
    <row r="592">
      <c r="A592" s="12">
        <f>IF(OR(F592="",F592="Revisar",C592=""),"",F592&amp;"-"&amp;C592&amp;"-"&amp;TEXT(COUNTIFS($F$2:F592,F592,$C$2:C592,C592),"0000"))</f>
        <v/>
      </c>
      <c r="B592" s="13" t="n"/>
      <c r="C592" s="12">
        <f>IF(ISNUMBER(B592),YEAR(B592),"")</f>
        <v/>
      </c>
      <c r="D592" s="14" t="n"/>
      <c r="E592" s="14" t="n"/>
      <c r="F592" s="12">
        <f>IF(E592="","",IFERROR(VLOOKUP(E592,LISTAS!$A$2:$C$65,2,FALSE),"Revisar"))</f>
        <v/>
      </c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2">
        <f>IF(COUNTA(B592:B592)+COUNTA(D592:E592)+COUNTA(G592:AJ592)=0,"",IF(COUNTBLANK(B592:B592)+COUNTBLANK(D592:E592)+COUNTBLANK(G592:G592)+COUNTBLANK(O592:AJ592)&gt;0,"Faltan "&amp;(COUNTBLANK(B592:B592)+COUNTBLANK(D592:E592)+COUNTBLANK(G592:G592)+COUNTBLANK(O592:AJ592))&amp;" datos obligatorios",IF(NOT(ISNUMBER(B592)),"Fecha no válida",IF(N(B592)&gt;TODAY(),"Fecha futura",IF(IFERROR(VLOOKUP(E592,LISTAS!$A$2:$C$65,3,FALSE),"")&lt;&gt;D592,"La subregión no corresponde al municipio",IF(IF(L592="",FALSE,OR(L592&lt;0,L592&gt;110)),"Edad fuera de rango",IF((V592="Sí")+(W592="Sí")+(X592="Sí")+(Y592="Sí")=0,"Marque al menos un tipo de violencia","OK")))))))</f>
        <v/>
      </c>
    </row>
    <row r="593">
      <c r="A593" s="12">
        <f>IF(OR(F593="",F593="Revisar",C593=""),"",F593&amp;"-"&amp;C593&amp;"-"&amp;TEXT(COUNTIFS($F$2:F593,F593,$C$2:C593,C593),"0000"))</f>
        <v/>
      </c>
      <c r="B593" s="13" t="n"/>
      <c r="C593" s="12">
        <f>IF(ISNUMBER(B593),YEAR(B593),"")</f>
        <v/>
      </c>
      <c r="D593" s="14" t="n"/>
      <c r="E593" s="14" t="n"/>
      <c r="F593" s="12">
        <f>IF(E593="","",IFERROR(VLOOKUP(E593,LISTAS!$A$2:$C$65,2,FALSE),"Revisar"))</f>
        <v/>
      </c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2">
        <f>IF(COUNTA(B593:B593)+COUNTA(D593:E593)+COUNTA(G593:AJ593)=0,"",IF(COUNTBLANK(B593:B593)+COUNTBLANK(D593:E593)+COUNTBLANK(G593:G593)+COUNTBLANK(O593:AJ593)&gt;0,"Faltan "&amp;(COUNTBLANK(B593:B593)+COUNTBLANK(D593:E593)+COUNTBLANK(G593:G593)+COUNTBLANK(O593:AJ593))&amp;" datos obligatorios",IF(NOT(ISNUMBER(B593)),"Fecha no válida",IF(N(B593)&gt;TODAY(),"Fecha futura",IF(IFERROR(VLOOKUP(E593,LISTAS!$A$2:$C$65,3,FALSE),"")&lt;&gt;D593,"La subregión no corresponde al municipio",IF(IF(L593="",FALSE,OR(L593&lt;0,L593&gt;110)),"Edad fuera de rango",IF((V593="Sí")+(W593="Sí")+(X593="Sí")+(Y593="Sí")=0,"Marque al menos un tipo de violencia","OK")))))))</f>
        <v/>
      </c>
    </row>
    <row r="594">
      <c r="A594" s="12">
        <f>IF(OR(F594="",F594="Revisar",C594=""),"",F594&amp;"-"&amp;C594&amp;"-"&amp;TEXT(COUNTIFS($F$2:F594,F594,$C$2:C594,C594),"0000"))</f>
        <v/>
      </c>
      <c r="B594" s="13" t="n"/>
      <c r="C594" s="12">
        <f>IF(ISNUMBER(B594),YEAR(B594),"")</f>
        <v/>
      </c>
      <c r="D594" s="14" t="n"/>
      <c r="E594" s="14" t="n"/>
      <c r="F594" s="12">
        <f>IF(E594="","",IFERROR(VLOOKUP(E594,LISTAS!$A$2:$C$65,2,FALSE),"Revisar"))</f>
        <v/>
      </c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2">
        <f>IF(COUNTA(B594:B594)+COUNTA(D594:E594)+COUNTA(G594:AJ594)=0,"",IF(COUNTBLANK(B594:B594)+COUNTBLANK(D594:E594)+COUNTBLANK(G594:G594)+COUNTBLANK(O594:AJ594)&gt;0,"Faltan "&amp;(COUNTBLANK(B594:B594)+COUNTBLANK(D594:E594)+COUNTBLANK(G594:G594)+COUNTBLANK(O594:AJ594))&amp;" datos obligatorios",IF(NOT(ISNUMBER(B594)),"Fecha no válida",IF(N(B594)&gt;TODAY(),"Fecha futura",IF(IFERROR(VLOOKUP(E594,LISTAS!$A$2:$C$65,3,FALSE),"")&lt;&gt;D594,"La subregión no corresponde al municipio",IF(IF(L594="",FALSE,OR(L594&lt;0,L594&gt;110)),"Edad fuera de rango",IF((V594="Sí")+(W594="Sí")+(X594="Sí")+(Y594="Sí")=0,"Marque al menos un tipo de violencia","OK")))))))</f>
        <v/>
      </c>
    </row>
    <row r="595">
      <c r="A595" s="12">
        <f>IF(OR(F595="",F595="Revisar",C595=""),"",F595&amp;"-"&amp;C595&amp;"-"&amp;TEXT(COUNTIFS($F$2:F595,F595,$C$2:C595,C595),"0000"))</f>
        <v/>
      </c>
      <c r="B595" s="13" t="n"/>
      <c r="C595" s="12">
        <f>IF(ISNUMBER(B595),YEAR(B595),"")</f>
        <v/>
      </c>
      <c r="D595" s="14" t="n"/>
      <c r="E595" s="14" t="n"/>
      <c r="F595" s="12">
        <f>IF(E595="","",IFERROR(VLOOKUP(E595,LISTAS!$A$2:$C$65,2,FALSE),"Revisar"))</f>
        <v/>
      </c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2">
        <f>IF(COUNTA(B595:B595)+COUNTA(D595:E595)+COUNTA(G595:AJ595)=0,"",IF(COUNTBLANK(B595:B595)+COUNTBLANK(D595:E595)+COUNTBLANK(G595:G595)+COUNTBLANK(O595:AJ595)&gt;0,"Faltan "&amp;(COUNTBLANK(B595:B595)+COUNTBLANK(D595:E595)+COUNTBLANK(G595:G595)+COUNTBLANK(O595:AJ595))&amp;" datos obligatorios",IF(NOT(ISNUMBER(B595)),"Fecha no válida",IF(N(B595)&gt;TODAY(),"Fecha futura",IF(IFERROR(VLOOKUP(E595,LISTAS!$A$2:$C$65,3,FALSE),"")&lt;&gt;D595,"La subregión no corresponde al municipio",IF(IF(L595="",FALSE,OR(L595&lt;0,L595&gt;110)),"Edad fuera de rango",IF((V595="Sí")+(W595="Sí")+(X595="Sí")+(Y595="Sí")=0,"Marque al menos un tipo de violencia","OK")))))))</f>
        <v/>
      </c>
    </row>
    <row r="596">
      <c r="A596" s="12">
        <f>IF(OR(F596="",F596="Revisar",C596=""),"",F596&amp;"-"&amp;C596&amp;"-"&amp;TEXT(COUNTIFS($F$2:F596,F596,$C$2:C596,C596),"0000"))</f>
        <v/>
      </c>
      <c r="B596" s="13" t="n"/>
      <c r="C596" s="12">
        <f>IF(ISNUMBER(B596),YEAR(B596),"")</f>
        <v/>
      </c>
      <c r="D596" s="14" t="n"/>
      <c r="E596" s="14" t="n"/>
      <c r="F596" s="12">
        <f>IF(E596="","",IFERROR(VLOOKUP(E596,LISTAS!$A$2:$C$65,2,FALSE),"Revisar"))</f>
        <v/>
      </c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2">
        <f>IF(COUNTA(B596:B596)+COUNTA(D596:E596)+COUNTA(G596:AJ596)=0,"",IF(COUNTBLANK(B596:B596)+COUNTBLANK(D596:E596)+COUNTBLANK(G596:G596)+COUNTBLANK(O596:AJ596)&gt;0,"Faltan "&amp;(COUNTBLANK(B596:B596)+COUNTBLANK(D596:E596)+COUNTBLANK(G596:G596)+COUNTBLANK(O596:AJ596))&amp;" datos obligatorios",IF(NOT(ISNUMBER(B596)),"Fecha no válida",IF(N(B596)&gt;TODAY(),"Fecha futura",IF(IFERROR(VLOOKUP(E596,LISTAS!$A$2:$C$65,3,FALSE),"")&lt;&gt;D596,"La subregión no corresponde al municipio",IF(IF(L596="",FALSE,OR(L596&lt;0,L596&gt;110)),"Edad fuera de rango",IF((V596="Sí")+(W596="Sí")+(X596="Sí")+(Y596="Sí")=0,"Marque al menos un tipo de violencia","OK")))))))</f>
        <v/>
      </c>
    </row>
    <row r="597">
      <c r="A597" s="12">
        <f>IF(OR(F597="",F597="Revisar",C597=""),"",F597&amp;"-"&amp;C597&amp;"-"&amp;TEXT(COUNTIFS($F$2:F597,F597,$C$2:C597,C597),"0000"))</f>
        <v/>
      </c>
      <c r="B597" s="13" t="n"/>
      <c r="C597" s="12">
        <f>IF(ISNUMBER(B597),YEAR(B597),"")</f>
        <v/>
      </c>
      <c r="D597" s="14" t="n"/>
      <c r="E597" s="14" t="n"/>
      <c r="F597" s="12">
        <f>IF(E597="","",IFERROR(VLOOKUP(E597,LISTAS!$A$2:$C$65,2,FALSE),"Revisar"))</f>
        <v/>
      </c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2">
        <f>IF(COUNTA(B597:B597)+COUNTA(D597:E597)+COUNTA(G597:AJ597)=0,"",IF(COUNTBLANK(B597:B597)+COUNTBLANK(D597:E597)+COUNTBLANK(G597:G597)+COUNTBLANK(O597:AJ597)&gt;0,"Faltan "&amp;(COUNTBLANK(B597:B597)+COUNTBLANK(D597:E597)+COUNTBLANK(G597:G597)+COUNTBLANK(O597:AJ597))&amp;" datos obligatorios",IF(NOT(ISNUMBER(B597)),"Fecha no válida",IF(N(B597)&gt;TODAY(),"Fecha futura",IF(IFERROR(VLOOKUP(E597,LISTAS!$A$2:$C$65,3,FALSE),"")&lt;&gt;D597,"La subregión no corresponde al municipio",IF(IF(L597="",FALSE,OR(L597&lt;0,L597&gt;110)),"Edad fuera de rango",IF((V597="Sí")+(W597="Sí")+(X597="Sí")+(Y597="Sí")=0,"Marque al menos un tipo de violencia","OK")))))))</f>
        <v/>
      </c>
    </row>
    <row r="598">
      <c r="A598" s="12">
        <f>IF(OR(F598="",F598="Revisar",C598=""),"",F598&amp;"-"&amp;C598&amp;"-"&amp;TEXT(COUNTIFS($F$2:F598,F598,$C$2:C598,C598),"0000"))</f>
        <v/>
      </c>
      <c r="B598" s="13" t="n"/>
      <c r="C598" s="12">
        <f>IF(ISNUMBER(B598),YEAR(B598),"")</f>
        <v/>
      </c>
      <c r="D598" s="14" t="n"/>
      <c r="E598" s="14" t="n"/>
      <c r="F598" s="12">
        <f>IF(E598="","",IFERROR(VLOOKUP(E598,LISTAS!$A$2:$C$65,2,FALSE),"Revisar"))</f>
        <v/>
      </c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2">
        <f>IF(COUNTA(B598:B598)+COUNTA(D598:E598)+COUNTA(G598:AJ598)=0,"",IF(COUNTBLANK(B598:B598)+COUNTBLANK(D598:E598)+COUNTBLANK(G598:G598)+COUNTBLANK(O598:AJ598)&gt;0,"Faltan "&amp;(COUNTBLANK(B598:B598)+COUNTBLANK(D598:E598)+COUNTBLANK(G598:G598)+COUNTBLANK(O598:AJ598))&amp;" datos obligatorios",IF(NOT(ISNUMBER(B598)),"Fecha no válida",IF(N(B598)&gt;TODAY(),"Fecha futura",IF(IFERROR(VLOOKUP(E598,LISTAS!$A$2:$C$65,3,FALSE),"")&lt;&gt;D598,"La subregión no corresponde al municipio",IF(IF(L598="",FALSE,OR(L598&lt;0,L598&gt;110)),"Edad fuera de rango",IF((V598="Sí")+(W598="Sí")+(X598="Sí")+(Y598="Sí")=0,"Marque al menos un tipo de violencia","OK")))))))</f>
        <v/>
      </c>
    </row>
    <row r="599">
      <c r="A599" s="12">
        <f>IF(OR(F599="",F599="Revisar",C599=""),"",F599&amp;"-"&amp;C599&amp;"-"&amp;TEXT(COUNTIFS($F$2:F599,F599,$C$2:C599,C599),"0000"))</f>
        <v/>
      </c>
      <c r="B599" s="13" t="n"/>
      <c r="C599" s="12">
        <f>IF(ISNUMBER(B599),YEAR(B599),"")</f>
        <v/>
      </c>
      <c r="D599" s="14" t="n"/>
      <c r="E599" s="14" t="n"/>
      <c r="F599" s="12">
        <f>IF(E599="","",IFERROR(VLOOKUP(E599,LISTAS!$A$2:$C$65,2,FALSE),"Revisar"))</f>
        <v/>
      </c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2">
        <f>IF(COUNTA(B599:B599)+COUNTA(D599:E599)+COUNTA(G599:AJ599)=0,"",IF(COUNTBLANK(B599:B599)+COUNTBLANK(D599:E599)+COUNTBLANK(G599:G599)+COUNTBLANK(O599:AJ599)&gt;0,"Faltan "&amp;(COUNTBLANK(B599:B599)+COUNTBLANK(D599:E599)+COUNTBLANK(G599:G599)+COUNTBLANK(O599:AJ599))&amp;" datos obligatorios",IF(NOT(ISNUMBER(B599)),"Fecha no válida",IF(N(B599)&gt;TODAY(),"Fecha futura",IF(IFERROR(VLOOKUP(E599,LISTAS!$A$2:$C$65,3,FALSE),"")&lt;&gt;D599,"La subregión no corresponde al municipio",IF(IF(L599="",FALSE,OR(L599&lt;0,L599&gt;110)),"Edad fuera de rango",IF((V599="Sí")+(W599="Sí")+(X599="Sí")+(Y599="Sí")=0,"Marque al menos un tipo de violencia","OK")))))))</f>
        <v/>
      </c>
    </row>
    <row r="600">
      <c r="A600" s="12">
        <f>IF(OR(F600="",F600="Revisar",C600=""),"",F600&amp;"-"&amp;C600&amp;"-"&amp;TEXT(COUNTIFS($F$2:F600,F600,$C$2:C600,C600),"0000"))</f>
        <v/>
      </c>
      <c r="B600" s="13" t="n"/>
      <c r="C600" s="12">
        <f>IF(ISNUMBER(B600),YEAR(B600),"")</f>
        <v/>
      </c>
      <c r="D600" s="14" t="n"/>
      <c r="E600" s="14" t="n"/>
      <c r="F600" s="12">
        <f>IF(E600="","",IFERROR(VLOOKUP(E600,LISTAS!$A$2:$C$65,2,FALSE),"Revisar"))</f>
        <v/>
      </c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2">
        <f>IF(COUNTA(B600:B600)+COUNTA(D600:E600)+COUNTA(G600:AJ600)=0,"",IF(COUNTBLANK(B600:B600)+COUNTBLANK(D600:E600)+COUNTBLANK(G600:G600)+COUNTBLANK(O600:AJ600)&gt;0,"Faltan "&amp;(COUNTBLANK(B600:B600)+COUNTBLANK(D600:E600)+COUNTBLANK(G600:G600)+COUNTBLANK(O600:AJ600))&amp;" datos obligatorios",IF(NOT(ISNUMBER(B600)),"Fecha no válida",IF(N(B600)&gt;TODAY(),"Fecha futura",IF(IFERROR(VLOOKUP(E600,LISTAS!$A$2:$C$65,3,FALSE),"")&lt;&gt;D600,"La subregión no corresponde al municipio",IF(IF(L600="",FALSE,OR(L600&lt;0,L600&gt;110)),"Edad fuera de rango",IF((V600="Sí")+(W600="Sí")+(X600="Sí")+(Y600="Sí")=0,"Marque al menos un tipo de violencia","OK")))))))</f>
        <v/>
      </c>
    </row>
    <row r="601">
      <c r="A601" s="12">
        <f>IF(OR(F601="",F601="Revisar",C601=""),"",F601&amp;"-"&amp;C601&amp;"-"&amp;TEXT(COUNTIFS($F$2:F601,F601,$C$2:C601,C601),"0000"))</f>
        <v/>
      </c>
      <c r="B601" s="13" t="n"/>
      <c r="C601" s="12">
        <f>IF(ISNUMBER(B601),YEAR(B601),"")</f>
        <v/>
      </c>
      <c r="D601" s="14" t="n"/>
      <c r="E601" s="14" t="n"/>
      <c r="F601" s="12">
        <f>IF(E601="","",IFERROR(VLOOKUP(E601,LISTAS!$A$2:$C$65,2,FALSE),"Revisar"))</f>
        <v/>
      </c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2">
        <f>IF(COUNTA(B601:B601)+COUNTA(D601:E601)+COUNTA(G601:AJ601)=0,"",IF(COUNTBLANK(B601:B601)+COUNTBLANK(D601:E601)+COUNTBLANK(G601:G601)+COUNTBLANK(O601:AJ601)&gt;0,"Faltan "&amp;(COUNTBLANK(B601:B601)+COUNTBLANK(D601:E601)+COUNTBLANK(G601:G601)+COUNTBLANK(O601:AJ601))&amp;" datos obligatorios",IF(NOT(ISNUMBER(B601)),"Fecha no válida",IF(N(B601)&gt;TODAY(),"Fecha futura",IF(IFERROR(VLOOKUP(E601,LISTAS!$A$2:$C$65,3,FALSE),"")&lt;&gt;D601,"La subregión no corresponde al municipio",IF(IF(L601="",FALSE,OR(L601&lt;0,L601&gt;110)),"Edad fuera de rango",IF((V601="Sí")+(W601="Sí")+(X601="Sí")+(Y601="Sí")=0,"Marque al menos un tipo de violencia","OK")))))))</f>
        <v/>
      </c>
    </row>
    <row r="602">
      <c r="A602" s="12">
        <f>IF(OR(F602="",F602="Revisar",C602=""),"",F602&amp;"-"&amp;C602&amp;"-"&amp;TEXT(COUNTIFS($F$2:F602,F602,$C$2:C602,C602),"0000"))</f>
        <v/>
      </c>
      <c r="B602" s="13" t="n"/>
      <c r="C602" s="12">
        <f>IF(ISNUMBER(B602),YEAR(B602),"")</f>
        <v/>
      </c>
      <c r="D602" s="14" t="n"/>
      <c r="E602" s="14" t="n"/>
      <c r="F602" s="12">
        <f>IF(E602="","",IFERROR(VLOOKUP(E602,LISTAS!$A$2:$C$65,2,FALSE),"Revisar"))</f>
        <v/>
      </c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2">
        <f>IF(COUNTA(B602:B602)+COUNTA(D602:E602)+COUNTA(G602:AJ602)=0,"",IF(COUNTBLANK(B602:B602)+COUNTBLANK(D602:E602)+COUNTBLANK(G602:G602)+COUNTBLANK(O602:AJ602)&gt;0,"Faltan "&amp;(COUNTBLANK(B602:B602)+COUNTBLANK(D602:E602)+COUNTBLANK(G602:G602)+COUNTBLANK(O602:AJ602))&amp;" datos obligatorios",IF(NOT(ISNUMBER(B602)),"Fecha no válida",IF(N(B602)&gt;TODAY(),"Fecha futura",IF(IFERROR(VLOOKUP(E602,LISTAS!$A$2:$C$65,3,FALSE),"")&lt;&gt;D602,"La subregión no corresponde al municipio",IF(IF(L602="",FALSE,OR(L602&lt;0,L602&gt;110)),"Edad fuera de rango",IF((V602="Sí")+(W602="Sí")+(X602="Sí")+(Y602="Sí")=0,"Marque al menos un tipo de violencia","OK")))))))</f>
        <v/>
      </c>
    </row>
    <row r="603">
      <c r="A603" s="12">
        <f>IF(OR(F603="",F603="Revisar",C603=""),"",F603&amp;"-"&amp;C603&amp;"-"&amp;TEXT(COUNTIFS($F$2:F603,F603,$C$2:C603,C603),"0000"))</f>
        <v/>
      </c>
      <c r="B603" s="13" t="n"/>
      <c r="C603" s="12">
        <f>IF(ISNUMBER(B603),YEAR(B603),"")</f>
        <v/>
      </c>
      <c r="D603" s="14" t="n"/>
      <c r="E603" s="14" t="n"/>
      <c r="F603" s="12">
        <f>IF(E603="","",IFERROR(VLOOKUP(E603,LISTAS!$A$2:$C$65,2,FALSE),"Revisar"))</f>
        <v/>
      </c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2">
        <f>IF(COUNTA(B603:B603)+COUNTA(D603:E603)+COUNTA(G603:AJ603)=0,"",IF(COUNTBLANK(B603:B603)+COUNTBLANK(D603:E603)+COUNTBLANK(G603:G603)+COUNTBLANK(O603:AJ603)&gt;0,"Faltan "&amp;(COUNTBLANK(B603:B603)+COUNTBLANK(D603:E603)+COUNTBLANK(G603:G603)+COUNTBLANK(O603:AJ603))&amp;" datos obligatorios",IF(NOT(ISNUMBER(B603)),"Fecha no válida",IF(N(B603)&gt;TODAY(),"Fecha futura",IF(IFERROR(VLOOKUP(E603,LISTAS!$A$2:$C$65,3,FALSE),"")&lt;&gt;D603,"La subregión no corresponde al municipio",IF(IF(L603="",FALSE,OR(L603&lt;0,L603&gt;110)),"Edad fuera de rango",IF((V603="Sí")+(W603="Sí")+(X603="Sí")+(Y603="Sí")=0,"Marque al menos un tipo de violencia","OK")))))))</f>
        <v/>
      </c>
    </row>
    <row r="604">
      <c r="A604" s="12">
        <f>IF(OR(F604="",F604="Revisar",C604=""),"",F604&amp;"-"&amp;C604&amp;"-"&amp;TEXT(COUNTIFS($F$2:F604,F604,$C$2:C604,C604),"0000"))</f>
        <v/>
      </c>
      <c r="B604" s="13" t="n"/>
      <c r="C604" s="12">
        <f>IF(ISNUMBER(B604),YEAR(B604),"")</f>
        <v/>
      </c>
      <c r="D604" s="14" t="n"/>
      <c r="E604" s="14" t="n"/>
      <c r="F604" s="12">
        <f>IF(E604="","",IFERROR(VLOOKUP(E604,LISTAS!$A$2:$C$65,2,FALSE),"Revisar"))</f>
        <v/>
      </c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2">
        <f>IF(COUNTA(B604:B604)+COUNTA(D604:E604)+COUNTA(G604:AJ604)=0,"",IF(COUNTBLANK(B604:B604)+COUNTBLANK(D604:E604)+COUNTBLANK(G604:G604)+COUNTBLANK(O604:AJ604)&gt;0,"Faltan "&amp;(COUNTBLANK(B604:B604)+COUNTBLANK(D604:E604)+COUNTBLANK(G604:G604)+COUNTBLANK(O604:AJ604))&amp;" datos obligatorios",IF(NOT(ISNUMBER(B604)),"Fecha no válida",IF(N(B604)&gt;TODAY(),"Fecha futura",IF(IFERROR(VLOOKUP(E604,LISTAS!$A$2:$C$65,3,FALSE),"")&lt;&gt;D604,"La subregión no corresponde al municipio",IF(IF(L604="",FALSE,OR(L604&lt;0,L604&gt;110)),"Edad fuera de rango",IF((V604="Sí")+(W604="Sí")+(X604="Sí")+(Y604="Sí")=0,"Marque al menos un tipo de violencia","OK")))))))</f>
        <v/>
      </c>
    </row>
    <row r="605">
      <c r="A605" s="12">
        <f>IF(OR(F605="",F605="Revisar",C605=""),"",F605&amp;"-"&amp;C605&amp;"-"&amp;TEXT(COUNTIFS($F$2:F605,F605,$C$2:C605,C605),"0000"))</f>
        <v/>
      </c>
      <c r="B605" s="13" t="n"/>
      <c r="C605" s="12">
        <f>IF(ISNUMBER(B605),YEAR(B605),"")</f>
        <v/>
      </c>
      <c r="D605" s="14" t="n"/>
      <c r="E605" s="14" t="n"/>
      <c r="F605" s="12">
        <f>IF(E605="","",IFERROR(VLOOKUP(E605,LISTAS!$A$2:$C$65,2,FALSE),"Revisar"))</f>
        <v/>
      </c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2">
        <f>IF(COUNTA(B605:B605)+COUNTA(D605:E605)+COUNTA(G605:AJ605)=0,"",IF(COUNTBLANK(B605:B605)+COUNTBLANK(D605:E605)+COUNTBLANK(G605:G605)+COUNTBLANK(O605:AJ605)&gt;0,"Faltan "&amp;(COUNTBLANK(B605:B605)+COUNTBLANK(D605:E605)+COUNTBLANK(G605:G605)+COUNTBLANK(O605:AJ605))&amp;" datos obligatorios",IF(NOT(ISNUMBER(B605)),"Fecha no válida",IF(N(B605)&gt;TODAY(),"Fecha futura",IF(IFERROR(VLOOKUP(E605,LISTAS!$A$2:$C$65,3,FALSE),"")&lt;&gt;D605,"La subregión no corresponde al municipio",IF(IF(L605="",FALSE,OR(L605&lt;0,L605&gt;110)),"Edad fuera de rango",IF((V605="Sí")+(W605="Sí")+(X605="Sí")+(Y605="Sí")=0,"Marque al menos un tipo de violencia","OK")))))))</f>
        <v/>
      </c>
    </row>
    <row r="606">
      <c r="A606" s="12">
        <f>IF(OR(F606="",F606="Revisar",C606=""),"",F606&amp;"-"&amp;C606&amp;"-"&amp;TEXT(COUNTIFS($F$2:F606,F606,$C$2:C606,C606),"0000"))</f>
        <v/>
      </c>
      <c r="B606" s="13" t="n"/>
      <c r="C606" s="12">
        <f>IF(ISNUMBER(B606),YEAR(B606),"")</f>
        <v/>
      </c>
      <c r="D606" s="14" t="n"/>
      <c r="E606" s="14" t="n"/>
      <c r="F606" s="12">
        <f>IF(E606="","",IFERROR(VLOOKUP(E606,LISTAS!$A$2:$C$65,2,FALSE),"Revisar"))</f>
        <v/>
      </c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2">
        <f>IF(COUNTA(B606:B606)+COUNTA(D606:E606)+COUNTA(G606:AJ606)=0,"",IF(COUNTBLANK(B606:B606)+COUNTBLANK(D606:E606)+COUNTBLANK(G606:G606)+COUNTBLANK(O606:AJ606)&gt;0,"Faltan "&amp;(COUNTBLANK(B606:B606)+COUNTBLANK(D606:E606)+COUNTBLANK(G606:G606)+COUNTBLANK(O606:AJ606))&amp;" datos obligatorios",IF(NOT(ISNUMBER(B606)),"Fecha no válida",IF(N(B606)&gt;TODAY(),"Fecha futura",IF(IFERROR(VLOOKUP(E606,LISTAS!$A$2:$C$65,3,FALSE),"")&lt;&gt;D606,"La subregión no corresponde al municipio",IF(IF(L606="",FALSE,OR(L606&lt;0,L606&gt;110)),"Edad fuera de rango",IF((V606="Sí")+(W606="Sí")+(X606="Sí")+(Y606="Sí")=0,"Marque al menos un tipo de violencia","OK")))))))</f>
        <v/>
      </c>
    </row>
    <row r="607">
      <c r="A607" s="12">
        <f>IF(OR(F607="",F607="Revisar",C607=""),"",F607&amp;"-"&amp;C607&amp;"-"&amp;TEXT(COUNTIFS($F$2:F607,F607,$C$2:C607,C607),"0000"))</f>
        <v/>
      </c>
      <c r="B607" s="13" t="n"/>
      <c r="C607" s="12">
        <f>IF(ISNUMBER(B607),YEAR(B607),"")</f>
        <v/>
      </c>
      <c r="D607" s="14" t="n"/>
      <c r="E607" s="14" t="n"/>
      <c r="F607" s="12">
        <f>IF(E607="","",IFERROR(VLOOKUP(E607,LISTAS!$A$2:$C$65,2,FALSE),"Revisar"))</f>
        <v/>
      </c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2">
        <f>IF(COUNTA(B607:B607)+COUNTA(D607:E607)+COUNTA(G607:AJ607)=0,"",IF(COUNTBLANK(B607:B607)+COUNTBLANK(D607:E607)+COUNTBLANK(G607:G607)+COUNTBLANK(O607:AJ607)&gt;0,"Faltan "&amp;(COUNTBLANK(B607:B607)+COUNTBLANK(D607:E607)+COUNTBLANK(G607:G607)+COUNTBLANK(O607:AJ607))&amp;" datos obligatorios",IF(NOT(ISNUMBER(B607)),"Fecha no válida",IF(N(B607)&gt;TODAY(),"Fecha futura",IF(IFERROR(VLOOKUP(E607,LISTAS!$A$2:$C$65,3,FALSE),"")&lt;&gt;D607,"La subregión no corresponde al municipio",IF(IF(L607="",FALSE,OR(L607&lt;0,L607&gt;110)),"Edad fuera de rango",IF((V607="Sí")+(W607="Sí")+(X607="Sí")+(Y607="Sí")=0,"Marque al menos un tipo de violencia","OK")))))))</f>
        <v/>
      </c>
    </row>
    <row r="608">
      <c r="A608" s="12">
        <f>IF(OR(F608="",F608="Revisar",C608=""),"",F608&amp;"-"&amp;C608&amp;"-"&amp;TEXT(COUNTIFS($F$2:F608,F608,$C$2:C608,C608),"0000"))</f>
        <v/>
      </c>
      <c r="B608" s="13" t="n"/>
      <c r="C608" s="12">
        <f>IF(ISNUMBER(B608),YEAR(B608),"")</f>
        <v/>
      </c>
      <c r="D608" s="14" t="n"/>
      <c r="E608" s="14" t="n"/>
      <c r="F608" s="12">
        <f>IF(E608="","",IFERROR(VLOOKUP(E608,LISTAS!$A$2:$C$65,2,FALSE),"Revisar"))</f>
        <v/>
      </c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2">
        <f>IF(COUNTA(B608:B608)+COUNTA(D608:E608)+COUNTA(G608:AJ608)=0,"",IF(COUNTBLANK(B608:B608)+COUNTBLANK(D608:E608)+COUNTBLANK(G608:G608)+COUNTBLANK(O608:AJ608)&gt;0,"Faltan "&amp;(COUNTBLANK(B608:B608)+COUNTBLANK(D608:E608)+COUNTBLANK(G608:G608)+COUNTBLANK(O608:AJ608))&amp;" datos obligatorios",IF(NOT(ISNUMBER(B608)),"Fecha no válida",IF(N(B608)&gt;TODAY(),"Fecha futura",IF(IFERROR(VLOOKUP(E608,LISTAS!$A$2:$C$65,3,FALSE),"")&lt;&gt;D608,"La subregión no corresponde al municipio",IF(IF(L608="",FALSE,OR(L608&lt;0,L608&gt;110)),"Edad fuera de rango",IF((V608="Sí")+(W608="Sí")+(X608="Sí")+(Y608="Sí")=0,"Marque al menos un tipo de violencia","OK")))))))</f>
        <v/>
      </c>
    </row>
    <row r="609">
      <c r="A609" s="12">
        <f>IF(OR(F609="",F609="Revisar",C609=""),"",F609&amp;"-"&amp;C609&amp;"-"&amp;TEXT(COUNTIFS($F$2:F609,F609,$C$2:C609,C609),"0000"))</f>
        <v/>
      </c>
      <c r="B609" s="13" t="n"/>
      <c r="C609" s="12">
        <f>IF(ISNUMBER(B609),YEAR(B609),"")</f>
        <v/>
      </c>
      <c r="D609" s="14" t="n"/>
      <c r="E609" s="14" t="n"/>
      <c r="F609" s="12">
        <f>IF(E609="","",IFERROR(VLOOKUP(E609,LISTAS!$A$2:$C$65,2,FALSE),"Revisar"))</f>
        <v/>
      </c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2">
        <f>IF(COUNTA(B609:B609)+COUNTA(D609:E609)+COUNTA(G609:AJ609)=0,"",IF(COUNTBLANK(B609:B609)+COUNTBLANK(D609:E609)+COUNTBLANK(G609:G609)+COUNTBLANK(O609:AJ609)&gt;0,"Faltan "&amp;(COUNTBLANK(B609:B609)+COUNTBLANK(D609:E609)+COUNTBLANK(G609:G609)+COUNTBLANK(O609:AJ609))&amp;" datos obligatorios",IF(NOT(ISNUMBER(B609)),"Fecha no válida",IF(N(B609)&gt;TODAY(),"Fecha futura",IF(IFERROR(VLOOKUP(E609,LISTAS!$A$2:$C$65,3,FALSE),"")&lt;&gt;D609,"La subregión no corresponde al municipio",IF(IF(L609="",FALSE,OR(L609&lt;0,L609&gt;110)),"Edad fuera de rango",IF((V609="Sí")+(W609="Sí")+(X609="Sí")+(Y609="Sí")=0,"Marque al menos un tipo de violencia","OK")))))))</f>
        <v/>
      </c>
    </row>
    <row r="610">
      <c r="A610" s="12">
        <f>IF(OR(F610="",F610="Revisar",C610=""),"",F610&amp;"-"&amp;C610&amp;"-"&amp;TEXT(COUNTIFS($F$2:F610,F610,$C$2:C610,C610),"0000"))</f>
        <v/>
      </c>
      <c r="B610" s="13" t="n"/>
      <c r="C610" s="12">
        <f>IF(ISNUMBER(B610),YEAR(B610),"")</f>
        <v/>
      </c>
      <c r="D610" s="14" t="n"/>
      <c r="E610" s="14" t="n"/>
      <c r="F610" s="12">
        <f>IF(E610="","",IFERROR(VLOOKUP(E610,LISTAS!$A$2:$C$65,2,FALSE),"Revisar"))</f>
        <v/>
      </c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2">
        <f>IF(COUNTA(B610:B610)+COUNTA(D610:E610)+COUNTA(G610:AJ610)=0,"",IF(COUNTBLANK(B610:B610)+COUNTBLANK(D610:E610)+COUNTBLANK(G610:G610)+COUNTBLANK(O610:AJ610)&gt;0,"Faltan "&amp;(COUNTBLANK(B610:B610)+COUNTBLANK(D610:E610)+COUNTBLANK(G610:G610)+COUNTBLANK(O610:AJ610))&amp;" datos obligatorios",IF(NOT(ISNUMBER(B610)),"Fecha no válida",IF(N(B610)&gt;TODAY(),"Fecha futura",IF(IFERROR(VLOOKUP(E610,LISTAS!$A$2:$C$65,3,FALSE),"")&lt;&gt;D610,"La subregión no corresponde al municipio",IF(IF(L610="",FALSE,OR(L610&lt;0,L610&gt;110)),"Edad fuera de rango",IF((V610="Sí")+(W610="Sí")+(X610="Sí")+(Y610="Sí")=0,"Marque al menos un tipo de violencia","OK")))))))</f>
        <v/>
      </c>
    </row>
    <row r="611">
      <c r="A611" s="12">
        <f>IF(OR(F611="",F611="Revisar",C611=""),"",F611&amp;"-"&amp;C611&amp;"-"&amp;TEXT(COUNTIFS($F$2:F611,F611,$C$2:C611,C611),"0000"))</f>
        <v/>
      </c>
      <c r="B611" s="13" t="n"/>
      <c r="C611" s="12">
        <f>IF(ISNUMBER(B611),YEAR(B611),"")</f>
        <v/>
      </c>
      <c r="D611" s="14" t="n"/>
      <c r="E611" s="14" t="n"/>
      <c r="F611" s="12">
        <f>IF(E611="","",IFERROR(VLOOKUP(E611,LISTAS!$A$2:$C$65,2,FALSE),"Revisar"))</f>
        <v/>
      </c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2">
        <f>IF(COUNTA(B611:B611)+COUNTA(D611:E611)+COUNTA(G611:AJ611)=0,"",IF(COUNTBLANK(B611:B611)+COUNTBLANK(D611:E611)+COUNTBLANK(G611:G611)+COUNTBLANK(O611:AJ611)&gt;0,"Faltan "&amp;(COUNTBLANK(B611:B611)+COUNTBLANK(D611:E611)+COUNTBLANK(G611:G611)+COUNTBLANK(O611:AJ611))&amp;" datos obligatorios",IF(NOT(ISNUMBER(B611)),"Fecha no válida",IF(N(B611)&gt;TODAY(),"Fecha futura",IF(IFERROR(VLOOKUP(E611,LISTAS!$A$2:$C$65,3,FALSE),"")&lt;&gt;D611,"La subregión no corresponde al municipio",IF(IF(L611="",FALSE,OR(L611&lt;0,L611&gt;110)),"Edad fuera de rango",IF((V611="Sí")+(W611="Sí")+(X611="Sí")+(Y611="Sí")=0,"Marque al menos un tipo de violencia","OK")))))))</f>
        <v/>
      </c>
    </row>
    <row r="612">
      <c r="A612" s="12">
        <f>IF(OR(F612="",F612="Revisar",C612=""),"",F612&amp;"-"&amp;C612&amp;"-"&amp;TEXT(COUNTIFS($F$2:F612,F612,$C$2:C612,C612),"0000"))</f>
        <v/>
      </c>
      <c r="B612" s="13" t="n"/>
      <c r="C612" s="12">
        <f>IF(ISNUMBER(B612),YEAR(B612),"")</f>
        <v/>
      </c>
      <c r="D612" s="14" t="n"/>
      <c r="E612" s="14" t="n"/>
      <c r="F612" s="12">
        <f>IF(E612="","",IFERROR(VLOOKUP(E612,LISTAS!$A$2:$C$65,2,FALSE),"Revisar"))</f>
        <v/>
      </c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2">
        <f>IF(COUNTA(B612:B612)+COUNTA(D612:E612)+COUNTA(G612:AJ612)=0,"",IF(COUNTBLANK(B612:B612)+COUNTBLANK(D612:E612)+COUNTBLANK(G612:G612)+COUNTBLANK(O612:AJ612)&gt;0,"Faltan "&amp;(COUNTBLANK(B612:B612)+COUNTBLANK(D612:E612)+COUNTBLANK(G612:G612)+COUNTBLANK(O612:AJ612))&amp;" datos obligatorios",IF(NOT(ISNUMBER(B612)),"Fecha no válida",IF(N(B612)&gt;TODAY(),"Fecha futura",IF(IFERROR(VLOOKUP(E612,LISTAS!$A$2:$C$65,3,FALSE),"")&lt;&gt;D612,"La subregión no corresponde al municipio",IF(IF(L612="",FALSE,OR(L612&lt;0,L612&gt;110)),"Edad fuera de rango",IF((V612="Sí")+(W612="Sí")+(X612="Sí")+(Y612="Sí")=0,"Marque al menos un tipo de violencia","OK")))))))</f>
        <v/>
      </c>
    </row>
    <row r="613">
      <c r="A613" s="12">
        <f>IF(OR(F613="",F613="Revisar",C613=""),"",F613&amp;"-"&amp;C613&amp;"-"&amp;TEXT(COUNTIFS($F$2:F613,F613,$C$2:C613,C613),"0000"))</f>
        <v/>
      </c>
      <c r="B613" s="13" t="n"/>
      <c r="C613" s="12">
        <f>IF(ISNUMBER(B613),YEAR(B613),"")</f>
        <v/>
      </c>
      <c r="D613" s="14" t="n"/>
      <c r="E613" s="14" t="n"/>
      <c r="F613" s="12">
        <f>IF(E613="","",IFERROR(VLOOKUP(E613,LISTAS!$A$2:$C$65,2,FALSE),"Revisar"))</f>
        <v/>
      </c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2">
        <f>IF(COUNTA(B613:B613)+COUNTA(D613:E613)+COUNTA(G613:AJ613)=0,"",IF(COUNTBLANK(B613:B613)+COUNTBLANK(D613:E613)+COUNTBLANK(G613:G613)+COUNTBLANK(O613:AJ613)&gt;0,"Faltan "&amp;(COUNTBLANK(B613:B613)+COUNTBLANK(D613:E613)+COUNTBLANK(G613:G613)+COUNTBLANK(O613:AJ613))&amp;" datos obligatorios",IF(NOT(ISNUMBER(B613)),"Fecha no válida",IF(N(B613)&gt;TODAY(),"Fecha futura",IF(IFERROR(VLOOKUP(E613,LISTAS!$A$2:$C$65,3,FALSE),"")&lt;&gt;D613,"La subregión no corresponde al municipio",IF(IF(L613="",FALSE,OR(L613&lt;0,L613&gt;110)),"Edad fuera de rango",IF((V613="Sí")+(W613="Sí")+(X613="Sí")+(Y613="Sí")=0,"Marque al menos un tipo de violencia","OK")))))))</f>
        <v/>
      </c>
    </row>
    <row r="614">
      <c r="A614" s="12">
        <f>IF(OR(F614="",F614="Revisar",C614=""),"",F614&amp;"-"&amp;C614&amp;"-"&amp;TEXT(COUNTIFS($F$2:F614,F614,$C$2:C614,C614),"0000"))</f>
        <v/>
      </c>
      <c r="B614" s="13" t="n"/>
      <c r="C614" s="12">
        <f>IF(ISNUMBER(B614),YEAR(B614),"")</f>
        <v/>
      </c>
      <c r="D614" s="14" t="n"/>
      <c r="E614" s="14" t="n"/>
      <c r="F614" s="12">
        <f>IF(E614="","",IFERROR(VLOOKUP(E614,LISTAS!$A$2:$C$65,2,FALSE),"Revisar"))</f>
        <v/>
      </c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2">
        <f>IF(COUNTA(B614:B614)+COUNTA(D614:E614)+COUNTA(G614:AJ614)=0,"",IF(COUNTBLANK(B614:B614)+COUNTBLANK(D614:E614)+COUNTBLANK(G614:G614)+COUNTBLANK(O614:AJ614)&gt;0,"Faltan "&amp;(COUNTBLANK(B614:B614)+COUNTBLANK(D614:E614)+COUNTBLANK(G614:G614)+COUNTBLANK(O614:AJ614))&amp;" datos obligatorios",IF(NOT(ISNUMBER(B614)),"Fecha no válida",IF(N(B614)&gt;TODAY(),"Fecha futura",IF(IFERROR(VLOOKUP(E614,LISTAS!$A$2:$C$65,3,FALSE),"")&lt;&gt;D614,"La subregión no corresponde al municipio",IF(IF(L614="",FALSE,OR(L614&lt;0,L614&gt;110)),"Edad fuera de rango",IF((V614="Sí")+(W614="Sí")+(X614="Sí")+(Y614="Sí")=0,"Marque al menos un tipo de violencia","OK")))))))</f>
        <v/>
      </c>
    </row>
    <row r="615">
      <c r="A615" s="12">
        <f>IF(OR(F615="",F615="Revisar",C615=""),"",F615&amp;"-"&amp;C615&amp;"-"&amp;TEXT(COUNTIFS($F$2:F615,F615,$C$2:C615,C615),"0000"))</f>
        <v/>
      </c>
      <c r="B615" s="13" t="n"/>
      <c r="C615" s="12">
        <f>IF(ISNUMBER(B615),YEAR(B615),"")</f>
        <v/>
      </c>
      <c r="D615" s="14" t="n"/>
      <c r="E615" s="14" t="n"/>
      <c r="F615" s="12">
        <f>IF(E615="","",IFERROR(VLOOKUP(E615,LISTAS!$A$2:$C$65,2,FALSE),"Revisar"))</f>
        <v/>
      </c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2">
        <f>IF(COUNTA(B615:B615)+COUNTA(D615:E615)+COUNTA(G615:AJ615)=0,"",IF(COUNTBLANK(B615:B615)+COUNTBLANK(D615:E615)+COUNTBLANK(G615:G615)+COUNTBLANK(O615:AJ615)&gt;0,"Faltan "&amp;(COUNTBLANK(B615:B615)+COUNTBLANK(D615:E615)+COUNTBLANK(G615:G615)+COUNTBLANK(O615:AJ615))&amp;" datos obligatorios",IF(NOT(ISNUMBER(B615)),"Fecha no válida",IF(N(B615)&gt;TODAY(),"Fecha futura",IF(IFERROR(VLOOKUP(E615,LISTAS!$A$2:$C$65,3,FALSE),"")&lt;&gt;D615,"La subregión no corresponde al municipio",IF(IF(L615="",FALSE,OR(L615&lt;0,L615&gt;110)),"Edad fuera de rango",IF((V615="Sí")+(W615="Sí")+(X615="Sí")+(Y615="Sí")=0,"Marque al menos un tipo de violencia","OK")))))))</f>
        <v/>
      </c>
    </row>
    <row r="616">
      <c r="A616" s="12">
        <f>IF(OR(F616="",F616="Revisar",C616=""),"",F616&amp;"-"&amp;C616&amp;"-"&amp;TEXT(COUNTIFS($F$2:F616,F616,$C$2:C616,C616),"0000"))</f>
        <v/>
      </c>
      <c r="B616" s="13" t="n"/>
      <c r="C616" s="12">
        <f>IF(ISNUMBER(B616),YEAR(B616),"")</f>
        <v/>
      </c>
      <c r="D616" s="14" t="n"/>
      <c r="E616" s="14" t="n"/>
      <c r="F616" s="12">
        <f>IF(E616="","",IFERROR(VLOOKUP(E616,LISTAS!$A$2:$C$65,2,FALSE),"Revisar"))</f>
        <v/>
      </c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2">
        <f>IF(COUNTA(B616:B616)+COUNTA(D616:E616)+COUNTA(G616:AJ616)=0,"",IF(COUNTBLANK(B616:B616)+COUNTBLANK(D616:E616)+COUNTBLANK(G616:G616)+COUNTBLANK(O616:AJ616)&gt;0,"Faltan "&amp;(COUNTBLANK(B616:B616)+COUNTBLANK(D616:E616)+COUNTBLANK(G616:G616)+COUNTBLANK(O616:AJ616))&amp;" datos obligatorios",IF(NOT(ISNUMBER(B616)),"Fecha no válida",IF(N(B616)&gt;TODAY(),"Fecha futura",IF(IFERROR(VLOOKUP(E616,LISTAS!$A$2:$C$65,3,FALSE),"")&lt;&gt;D616,"La subregión no corresponde al municipio",IF(IF(L616="",FALSE,OR(L616&lt;0,L616&gt;110)),"Edad fuera de rango",IF((V616="Sí")+(W616="Sí")+(X616="Sí")+(Y616="Sí")=0,"Marque al menos un tipo de violencia","OK")))))))</f>
        <v/>
      </c>
    </row>
    <row r="617">
      <c r="A617" s="12">
        <f>IF(OR(F617="",F617="Revisar",C617=""),"",F617&amp;"-"&amp;C617&amp;"-"&amp;TEXT(COUNTIFS($F$2:F617,F617,$C$2:C617,C617),"0000"))</f>
        <v/>
      </c>
      <c r="B617" s="13" t="n"/>
      <c r="C617" s="12">
        <f>IF(ISNUMBER(B617),YEAR(B617),"")</f>
        <v/>
      </c>
      <c r="D617" s="14" t="n"/>
      <c r="E617" s="14" t="n"/>
      <c r="F617" s="12">
        <f>IF(E617="","",IFERROR(VLOOKUP(E617,LISTAS!$A$2:$C$65,2,FALSE),"Revisar"))</f>
        <v/>
      </c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2">
        <f>IF(COUNTA(B617:B617)+COUNTA(D617:E617)+COUNTA(G617:AJ617)=0,"",IF(COUNTBLANK(B617:B617)+COUNTBLANK(D617:E617)+COUNTBLANK(G617:G617)+COUNTBLANK(O617:AJ617)&gt;0,"Faltan "&amp;(COUNTBLANK(B617:B617)+COUNTBLANK(D617:E617)+COUNTBLANK(G617:G617)+COUNTBLANK(O617:AJ617))&amp;" datos obligatorios",IF(NOT(ISNUMBER(B617)),"Fecha no válida",IF(N(B617)&gt;TODAY(),"Fecha futura",IF(IFERROR(VLOOKUP(E617,LISTAS!$A$2:$C$65,3,FALSE),"")&lt;&gt;D617,"La subregión no corresponde al municipio",IF(IF(L617="",FALSE,OR(L617&lt;0,L617&gt;110)),"Edad fuera de rango",IF((V617="Sí")+(W617="Sí")+(X617="Sí")+(Y617="Sí")=0,"Marque al menos un tipo de violencia","OK")))))))</f>
        <v/>
      </c>
    </row>
    <row r="618">
      <c r="A618" s="12">
        <f>IF(OR(F618="",F618="Revisar",C618=""),"",F618&amp;"-"&amp;C618&amp;"-"&amp;TEXT(COUNTIFS($F$2:F618,F618,$C$2:C618,C618),"0000"))</f>
        <v/>
      </c>
      <c r="B618" s="13" t="n"/>
      <c r="C618" s="12">
        <f>IF(ISNUMBER(B618),YEAR(B618),"")</f>
        <v/>
      </c>
      <c r="D618" s="14" t="n"/>
      <c r="E618" s="14" t="n"/>
      <c r="F618" s="12">
        <f>IF(E618="","",IFERROR(VLOOKUP(E618,LISTAS!$A$2:$C$65,2,FALSE),"Revisar"))</f>
        <v/>
      </c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2">
        <f>IF(COUNTA(B618:B618)+COUNTA(D618:E618)+COUNTA(G618:AJ618)=0,"",IF(COUNTBLANK(B618:B618)+COUNTBLANK(D618:E618)+COUNTBLANK(G618:G618)+COUNTBLANK(O618:AJ618)&gt;0,"Faltan "&amp;(COUNTBLANK(B618:B618)+COUNTBLANK(D618:E618)+COUNTBLANK(G618:G618)+COUNTBLANK(O618:AJ618))&amp;" datos obligatorios",IF(NOT(ISNUMBER(B618)),"Fecha no válida",IF(N(B618)&gt;TODAY(),"Fecha futura",IF(IFERROR(VLOOKUP(E618,LISTAS!$A$2:$C$65,3,FALSE),"")&lt;&gt;D618,"La subregión no corresponde al municipio",IF(IF(L618="",FALSE,OR(L618&lt;0,L618&gt;110)),"Edad fuera de rango",IF((V618="Sí")+(W618="Sí")+(X618="Sí")+(Y618="Sí")=0,"Marque al menos un tipo de violencia","OK")))))))</f>
        <v/>
      </c>
    </row>
    <row r="619">
      <c r="A619" s="12">
        <f>IF(OR(F619="",F619="Revisar",C619=""),"",F619&amp;"-"&amp;C619&amp;"-"&amp;TEXT(COUNTIFS($F$2:F619,F619,$C$2:C619,C619),"0000"))</f>
        <v/>
      </c>
      <c r="B619" s="13" t="n"/>
      <c r="C619" s="12">
        <f>IF(ISNUMBER(B619),YEAR(B619),"")</f>
        <v/>
      </c>
      <c r="D619" s="14" t="n"/>
      <c r="E619" s="14" t="n"/>
      <c r="F619" s="12">
        <f>IF(E619="","",IFERROR(VLOOKUP(E619,LISTAS!$A$2:$C$65,2,FALSE),"Revisar"))</f>
        <v/>
      </c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2">
        <f>IF(COUNTA(B619:B619)+COUNTA(D619:E619)+COUNTA(G619:AJ619)=0,"",IF(COUNTBLANK(B619:B619)+COUNTBLANK(D619:E619)+COUNTBLANK(G619:G619)+COUNTBLANK(O619:AJ619)&gt;0,"Faltan "&amp;(COUNTBLANK(B619:B619)+COUNTBLANK(D619:E619)+COUNTBLANK(G619:G619)+COUNTBLANK(O619:AJ619))&amp;" datos obligatorios",IF(NOT(ISNUMBER(B619)),"Fecha no válida",IF(N(B619)&gt;TODAY(),"Fecha futura",IF(IFERROR(VLOOKUP(E619,LISTAS!$A$2:$C$65,3,FALSE),"")&lt;&gt;D619,"La subregión no corresponde al municipio",IF(IF(L619="",FALSE,OR(L619&lt;0,L619&gt;110)),"Edad fuera de rango",IF((V619="Sí")+(W619="Sí")+(X619="Sí")+(Y619="Sí")=0,"Marque al menos un tipo de violencia","OK")))))))</f>
        <v/>
      </c>
    </row>
    <row r="620">
      <c r="A620" s="12">
        <f>IF(OR(F620="",F620="Revisar",C620=""),"",F620&amp;"-"&amp;C620&amp;"-"&amp;TEXT(COUNTIFS($F$2:F620,F620,$C$2:C620,C620),"0000"))</f>
        <v/>
      </c>
      <c r="B620" s="13" t="n"/>
      <c r="C620" s="12">
        <f>IF(ISNUMBER(B620),YEAR(B620),"")</f>
        <v/>
      </c>
      <c r="D620" s="14" t="n"/>
      <c r="E620" s="14" t="n"/>
      <c r="F620" s="12">
        <f>IF(E620="","",IFERROR(VLOOKUP(E620,LISTAS!$A$2:$C$65,2,FALSE),"Revisar"))</f>
        <v/>
      </c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2">
        <f>IF(COUNTA(B620:B620)+COUNTA(D620:E620)+COUNTA(G620:AJ620)=0,"",IF(COUNTBLANK(B620:B620)+COUNTBLANK(D620:E620)+COUNTBLANK(G620:G620)+COUNTBLANK(O620:AJ620)&gt;0,"Faltan "&amp;(COUNTBLANK(B620:B620)+COUNTBLANK(D620:E620)+COUNTBLANK(G620:G620)+COUNTBLANK(O620:AJ620))&amp;" datos obligatorios",IF(NOT(ISNUMBER(B620)),"Fecha no válida",IF(N(B620)&gt;TODAY(),"Fecha futura",IF(IFERROR(VLOOKUP(E620,LISTAS!$A$2:$C$65,3,FALSE),"")&lt;&gt;D620,"La subregión no corresponde al municipio",IF(IF(L620="",FALSE,OR(L620&lt;0,L620&gt;110)),"Edad fuera de rango",IF((V620="Sí")+(W620="Sí")+(X620="Sí")+(Y620="Sí")=0,"Marque al menos un tipo de violencia","OK")))))))</f>
        <v/>
      </c>
    </row>
    <row r="621">
      <c r="A621" s="12">
        <f>IF(OR(F621="",F621="Revisar",C621=""),"",F621&amp;"-"&amp;C621&amp;"-"&amp;TEXT(COUNTIFS($F$2:F621,F621,$C$2:C621,C621),"0000"))</f>
        <v/>
      </c>
      <c r="B621" s="13" t="n"/>
      <c r="C621" s="12">
        <f>IF(ISNUMBER(B621),YEAR(B621),"")</f>
        <v/>
      </c>
      <c r="D621" s="14" t="n"/>
      <c r="E621" s="14" t="n"/>
      <c r="F621" s="12">
        <f>IF(E621="","",IFERROR(VLOOKUP(E621,LISTAS!$A$2:$C$65,2,FALSE),"Revisar"))</f>
        <v/>
      </c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2">
        <f>IF(COUNTA(B621:B621)+COUNTA(D621:E621)+COUNTA(G621:AJ621)=0,"",IF(COUNTBLANK(B621:B621)+COUNTBLANK(D621:E621)+COUNTBLANK(G621:G621)+COUNTBLANK(O621:AJ621)&gt;0,"Faltan "&amp;(COUNTBLANK(B621:B621)+COUNTBLANK(D621:E621)+COUNTBLANK(G621:G621)+COUNTBLANK(O621:AJ621))&amp;" datos obligatorios",IF(NOT(ISNUMBER(B621)),"Fecha no válida",IF(N(B621)&gt;TODAY(),"Fecha futura",IF(IFERROR(VLOOKUP(E621,LISTAS!$A$2:$C$65,3,FALSE),"")&lt;&gt;D621,"La subregión no corresponde al municipio",IF(IF(L621="",FALSE,OR(L621&lt;0,L621&gt;110)),"Edad fuera de rango",IF((V621="Sí")+(W621="Sí")+(X621="Sí")+(Y621="Sí")=0,"Marque al menos un tipo de violencia","OK")))))))</f>
        <v/>
      </c>
    </row>
    <row r="622">
      <c r="A622" s="12">
        <f>IF(OR(F622="",F622="Revisar",C622=""),"",F622&amp;"-"&amp;C622&amp;"-"&amp;TEXT(COUNTIFS($F$2:F622,F622,$C$2:C622,C622),"0000"))</f>
        <v/>
      </c>
      <c r="B622" s="13" t="n"/>
      <c r="C622" s="12">
        <f>IF(ISNUMBER(B622),YEAR(B622),"")</f>
        <v/>
      </c>
      <c r="D622" s="14" t="n"/>
      <c r="E622" s="14" t="n"/>
      <c r="F622" s="12">
        <f>IF(E622="","",IFERROR(VLOOKUP(E622,LISTAS!$A$2:$C$65,2,FALSE),"Revisar"))</f>
        <v/>
      </c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2">
        <f>IF(COUNTA(B622:B622)+COUNTA(D622:E622)+COUNTA(G622:AJ622)=0,"",IF(COUNTBLANK(B622:B622)+COUNTBLANK(D622:E622)+COUNTBLANK(G622:G622)+COUNTBLANK(O622:AJ622)&gt;0,"Faltan "&amp;(COUNTBLANK(B622:B622)+COUNTBLANK(D622:E622)+COUNTBLANK(G622:G622)+COUNTBLANK(O622:AJ622))&amp;" datos obligatorios",IF(NOT(ISNUMBER(B622)),"Fecha no válida",IF(N(B622)&gt;TODAY(),"Fecha futura",IF(IFERROR(VLOOKUP(E622,LISTAS!$A$2:$C$65,3,FALSE),"")&lt;&gt;D622,"La subregión no corresponde al municipio",IF(IF(L622="",FALSE,OR(L622&lt;0,L622&gt;110)),"Edad fuera de rango",IF((V622="Sí")+(W622="Sí")+(X622="Sí")+(Y622="Sí")=0,"Marque al menos un tipo de violencia","OK")))))))</f>
        <v/>
      </c>
    </row>
    <row r="623">
      <c r="A623" s="12">
        <f>IF(OR(F623="",F623="Revisar",C623=""),"",F623&amp;"-"&amp;C623&amp;"-"&amp;TEXT(COUNTIFS($F$2:F623,F623,$C$2:C623,C623),"0000"))</f>
        <v/>
      </c>
      <c r="B623" s="13" t="n"/>
      <c r="C623" s="12">
        <f>IF(ISNUMBER(B623),YEAR(B623),"")</f>
        <v/>
      </c>
      <c r="D623" s="14" t="n"/>
      <c r="E623" s="14" t="n"/>
      <c r="F623" s="12">
        <f>IF(E623="","",IFERROR(VLOOKUP(E623,LISTAS!$A$2:$C$65,2,FALSE),"Revisar"))</f>
        <v/>
      </c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2">
        <f>IF(COUNTA(B623:B623)+COUNTA(D623:E623)+COUNTA(G623:AJ623)=0,"",IF(COUNTBLANK(B623:B623)+COUNTBLANK(D623:E623)+COUNTBLANK(G623:G623)+COUNTBLANK(O623:AJ623)&gt;0,"Faltan "&amp;(COUNTBLANK(B623:B623)+COUNTBLANK(D623:E623)+COUNTBLANK(G623:G623)+COUNTBLANK(O623:AJ623))&amp;" datos obligatorios",IF(NOT(ISNUMBER(B623)),"Fecha no válida",IF(N(B623)&gt;TODAY(),"Fecha futura",IF(IFERROR(VLOOKUP(E623,LISTAS!$A$2:$C$65,3,FALSE),"")&lt;&gt;D623,"La subregión no corresponde al municipio",IF(IF(L623="",FALSE,OR(L623&lt;0,L623&gt;110)),"Edad fuera de rango",IF((V623="Sí")+(W623="Sí")+(X623="Sí")+(Y623="Sí")=0,"Marque al menos un tipo de violencia","OK")))))))</f>
        <v/>
      </c>
    </row>
    <row r="624">
      <c r="A624" s="12">
        <f>IF(OR(F624="",F624="Revisar",C624=""),"",F624&amp;"-"&amp;C624&amp;"-"&amp;TEXT(COUNTIFS($F$2:F624,F624,$C$2:C624,C624),"0000"))</f>
        <v/>
      </c>
      <c r="B624" s="13" t="n"/>
      <c r="C624" s="12">
        <f>IF(ISNUMBER(B624),YEAR(B624),"")</f>
        <v/>
      </c>
      <c r="D624" s="14" t="n"/>
      <c r="E624" s="14" t="n"/>
      <c r="F624" s="12">
        <f>IF(E624="","",IFERROR(VLOOKUP(E624,LISTAS!$A$2:$C$65,2,FALSE),"Revisar"))</f>
        <v/>
      </c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2">
        <f>IF(COUNTA(B624:B624)+COUNTA(D624:E624)+COUNTA(G624:AJ624)=0,"",IF(COUNTBLANK(B624:B624)+COUNTBLANK(D624:E624)+COUNTBLANK(G624:G624)+COUNTBLANK(O624:AJ624)&gt;0,"Faltan "&amp;(COUNTBLANK(B624:B624)+COUNTBLANK(D624:E624)+COUNTBLANK(G624:G624)+COUNTBLANK(O624:AJ624))&amp;" datos obligatorios",IF(NOT(ISNUMBER(B624)),"Fecha no válida",IF(N(B624)&gt;TODAY(),"Fecha futura",IF(IFERROR(VLOOKUP(E624,LISTAS!$A$2:$C$65,3,FALSE),"")&lt;&gt;D624,"La subregión no corresponde al municipio",IF(IF(L624="",FALSE,OR(L624&lt;0,L624&gt;110)),"Edad fuera de rango",IF((V624="Sí")+(W624="Sí")+(X624="Sí")+(Y624="Sí")=0,"Marque al menos un tipo de violencia","OK")))))))</f>
        <v/>
      </c>
    </row>
    <row r="625">
      <c r="A625" s="12">
        <f>IF(OR(F625="",F625="Revisar",C625=""),"",F625&amp;"-"&amp;C625&amp;"-"&amp;TEXT(COUNTIFS($F$2:F625,F625,$C$2:C625,C625),"0000"))</f>
        <v/>
      </c>
      <c r="B625" s="13" t="n"/>
      <c r="C625" s="12">
        <f>IF(ISNUMBER(B625),YEAR(B625),"")</f>
        <v/>
      </c>
      <c r="D625" s="14" t="n"/>
      <c r="E625" s="14" t="n"/>
      <c r="F625" s="12">
        <f>IF(E625="","",IFERROR(VLOOKUP(E625,LISTAS!$A$2:$C$65,2,FALSE),"Revisar"))</f>
        <v/>
      </c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2">
        <f>IF(COUNTA(B625:B625)+COUNTA(D625:E625)+COUNTA(G625:AJ625)=0,"",IF(COUNTBLANK(B625:B625)+COUNTBLANK(D625:E625)+COUNTBLANK(G625:G625)+COUNTBLANK(O625:AJ625)&gt;0,"Faltan "&amp;(COUNTBLANK(B625:B625)+COUNTBLANK(D625:E625)+COUNTBLANK(G625:G625)+COUNTBLANK(O625:AJ625))&amp;" datos obligatorios",IF(NOT(ISNUMBER(B625)),"Fecha no válida",IF(N(B625)&gt;TODAY(),"Fecha futura",IF(IFERROR(VLOOKUP(E625,LISTAS!$A$2:$C$65,3,FALSE),"")&lt;&gt;D625,"La subregión no corresponde al municipio",IF(IF(L625="",FALSE,OR(L625&lt;0,L625&gt;110)),"Edad fuera de rango",IF((V625="Sí")+(W625="Sí")+(X625="Sí")+(Y625="Sí")=0,"Marque al menos un tipo de violencia","OK")))))))</f>
        <v/>
      </c>
    </row>
    <row r="626">
      <c r="A626" s="12">
        <f>IF(OR(F626="",F626="Revisar",C626=""),"",F626&amp;"-"&amp;C626&amp;"-"&amp;TEXT(COUNTIFS($F$2:F626,F626,$C$2:C626,C626),"0000"))</f>
        <v/>
      </c>
      <c r="B626" s="13" t="n"/>
      <c r="C626" s="12">
        <f>IF(ISNUMBER(B626),YEAR(B626),"")</f>
        <v/>
      </c>
      <c r="D626" s="14" t="n"/>
      <c r="E626" s="14" t="n"/>
      <c r="F626" s="12">
        <f>IF(E626="","",IFERROR(VLOOKUP(E626,LISTAS!$A$2:$C$65,2,FALSE),"Revisar"))</f>
        <v/>
      </c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2">
        <f>IF(COUNTA(B626:B626)+COUNTA(D626:E626)+COUNTA(G626:AJ626)=0,"",IF(COUNTBLANK(B626:B626)+COUNTBLANK(D626:E626)+COUNTBLANK(G626:G626)+COUNTBLANK(O626:AJ626)&gt;0,"Faltan "&amp;(COUNTBLANK(B626:B626)+COUNTBLANK(D626:E626)+COUNTBLANK(G626:G626)+COUNTBLANK(O626:AJ626))&amp;" datos obligatorios",IF(NOT(ISNUMBER(B626)),"Fecha no válida",IF(N(B626)&gt;TODAY(),"Fecha futura",IF(IFERROR(VLOOKUP(E626,LISTAS!$A$2:$C$65,3,FALSE),"")&lt;&gt;D626,"La subregión no corresponde al municipio",IF(IF(L626="",FALSE,OR(L626&lt;0,L626&gt;110)),"Edad fuera de rango",IF((V626="Sí")+(W626="Sí")+(X626="Sí")+(Y626="Sí")=0,"Marque al menos un tipo de violencia","OK")))))))</f>
        <v/>
      </c>
    </row>
    <row r="627">
      <c r="A627" s="12">
        <f>IF(OR(F627="",F627="Revisar",C627=""),"",F627&amp;"-"&amp;C627&amp;"-"&amp;TEXT(COUNTIFS($F$2:F627,F627,$C$2:C627,C627),"0000"))</f>
        <v/>
      </c>
      <c r="B627" s="13" t="n"/>
      <c r="C627" s="12">
        <f>IF(ISNUMBER(B627),YEAR(B627),"")</f>
        <v/>
      </c>
      <c r="D627" s="14" t="n"/>
      <c r="E627" s="14" t="n"/>
      <c r="F627" s="12">
        <f>IF(E627="","",IFERROR(VLOOKUP(E627,LISTAS!$A$2:$C$65,2,FALSE),"Revisar"))</f>
        <v/>
      </c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2">
        <f>IF(COUNTA(B627:B627)+COUNTA(D627:E627)+COUNTA(G627:AJ627)=0,"",IF(COUNTBLANK(B627:B627)+COUNTBLANK(D627:E627)+COUNTBLANK(G627:G627)+COUNTBLANK(O627:AJ627)&gt;0,"Faltan "&amp;(COUNTBLANK(B627:B627)+COUNTBLANK(D627:E627)+COUNTBLANK(G627:G627)+COUNTBLANK(O627:AJ627))&amp;" datos obligatorios",IF(NOT(ISNUMBER(B627)),"Fecha no válida",IF(N(B627)&gt;TODAY(),"Fecha futura",IF(IFERROR(VLOOKUP(E627,LISTAS!$A$2:$C$65,3,FALSE),"")&lt;&gt;D627,"La subregión no corresponde al municipio",IF(IF(L627="",FALSE,OR(L627&lt;0,L627&gt;110)),"Edad fuera de rango",IF((V627="Sí")+(W627="Sí")+(X627="Sí")+(Y627="Sí")=0,"Marque al menos un tipo de violencia","OK")))))))</f>
        <v/>
      </c>
    </row>
    <row r="628">
      <c r="A628" s="12">
        <f>IF(OR(F628="",F628="Revisar",C628=""),"",F628&amp;"-"&amp;C628&amp;"-"&amp;TEXT(COUNTIFS($F$2:F628,F628,$C$2:C628,C628),"0000"))</f>
        <v/>
      </c>
      <c r="B628" s="13" t="n"/>
      <c r="C628" s="12">
        <f>IF(ISNUMBER(B628),YEAR(B628),"")</f>
        <v/>
      </c>
      <c r="D628" s="14" t="n"/>
      <c r="E628" s="14" t="n"/>
      <c r="F628" s="12">
        <f>IF(E628="","",IFERROR(VLOOKUP(E628,LISTAS!$A$2:$C$65,2,FALSE),"Revisar"))</f>
        <v/>
      </c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2">
        <f>IF(COUNTA(B628:B628)+COUNTA(D628:E628)+COUNTA(G628:AJ628)=0,"",IF(COUNTBLANK(B628:B628)+COUNTBLANK(D628:E628)+COUNTBLANK(G628:G628)+COUNTBLANK(O628:AJ628)&gt;0,"Faltan "&amp;(COUNTBLANK(B628:B628)+COUNTBLANK(D628:E628)+COUNTBLANK(G628:G628)+COUNTBLANK(O628:AJ628))&amp;" datos obligatorios",IF(NOT(ISNUMBER(B628)),"Fecha no válida",IF(N(B628)&gt;TODAY(),"Fecha futura",IF(IFERROR(VLOOKUP(E628,LISTAS!$A$2:$C$65,3,FALSE),"")&lt;&gt;D628,"La subregión no corresponde al municipio",IF(IF(L628="",FALSE,OR(L628&lt;0,L628&gt;110)),"Edad fuera de rango",IF((V628="Sí")+(W628="Sí")+(X628="Sí")+(Y628="Sí")=0,"Marque al menos un tipo de violencia","OK")))))))</f>
        <v/>
      </c>
    </row>
    <row r="629">
      <c r="A629" s="12">
        <f>IF(OR(F629="",F629="Revisar",C629=""),"",F629&amp;"-"&amp;C629&amp;"-"&amp;TEXT(COUNTIFS($F$2:F629,F629,$C$2:C629,C629),"0000"))</f>
        <v/>
      </c>
      <c r="B629" s="13" t="n"/>
      <c r="C629" s="12">
        <f>IF(ISNUMBER(B629),YEAR(B629),"")</f>
        <v/>
      </c>
      <c r="D629" s="14" t="n"/>
      <c r="E629" s="14" t="n"/>
      <c r="F629" s="12">
        <f>IF(E629="","",IFERROR(VLOOKUP(E629,LISTAS!$A$2:$C$65,2,FALSE),"Revisar"))</f>
        <v/>
      </c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2">
        <f>IF(COUNTA(B629:B629)+COUNTA(D629:E629)+COUNTA(G629:AJ629)=0,"",IF(COUNTBLANK(B629:B629)+COUNTBLANK(D629:E629)+COUNTBLANK(G629:G629)+COUNTBLANK(O629:AJ629)&gt;0,"Faltan "&amp;(COUNTBLANK(B629:B629)+COUNTBLANK(D629:E629)+COUNTBLANK(G629:G629)+COUNTBLANK(O629:AJ629))&amp;" datos obligatorios",IF(NOT(ISNUMBER(B629)),"Fecha no válida",IF(N(B629)&gt;TODAY(),"Fecha futura",IF(IFERROR(VLOOKUP(E629,LISTAS!$A$2:$C$65,3,FALSE),"")&lt;&gt;D629,"La subregión no corresponde al municipio",IF(IF(L629="",FALSE,OR(L629&lt;0,L629&gt;110)),"Edad fuera de rango",IF((V629="Sí")+(W629="Sí")+(X629="Sí")+(Y629="Sí")=0,"Marque al menos un tipo de violencia","OK")))))))</f>
        <v/>
      </c>
    </row>
    <row r="630">
      <c r="A630" s="12">
        <f>IF(OR(F630="",F630="Revisar",C630=""),"",F630&amp;"-"&amp;C630&amp;"-"&amp;TEXT(COUNTIFS($F$2:F630,F630,$C$2:C630,C630),"0000"))</f>
        <v/>
      </c>
      <c r="B630" s="13" t="n"/>
      <c r="C630" s="12">
        <f>IF(ISNUMBER(B630),YEAR(B630),"")</f>
        <v/>
      </c>
      <c r="D630" s="14" t="n"/>
      <c r="E630" s="14" t="n"/>
      <c r="F630" s="12">
        <f>IF(E630="","",IFERROR(VLOOKUP(E630,LISTAS!$A$2:$C$65,2,FALSE),"Revisar"))</f>
        <v/>
      </c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2">
        <f>IF(COUNTA(B630:B630)+COUNTA(D630:E630)+COUNTA(G630:AJ630)=0,"",IF(COUNTBLANK(B630:B630)+COUNTBLANK(D630:E630)+COUNTBLANK(G630:G630)+COUNTBLANK(O630:AJ630)&gt;0,"Faltan "&amp;(COUNTBLANK(B630:B630)+COUNTBLANK(D630:E630)+COUNTBLANK(G630:G630)+COUNTBLANK(O630:AJ630))&amp;" datos obligatorios",IF(NOT(ISNUMBER(B630)),"Fecha no válida",IF(N(B630)&gt;TODAY(),"Fecha futura",IF(IFERROR(VLOOKUP(E630,LISTAS!$A$2:$C$65,3,FALSE),"")&lt;&gt;D630,"La subregión no corresponde al municipio",IF(IF(L630="",FALSE,OR(L630&lt;0,L630&gt;110)),"Edad fuera de rango",IF((V630="Sí")+(W630="Sí")+(X630="Sí")+(Y630="Sí")=0,"Marque al menos un tipo de violencia","OK")))))))</f>
        <v/>
      </c>
    </row>
    <row r="631">
      <c r="A631" s="12">
        <f>IF(OR(F631="",F631="Revisar",C631=""),"",F631&amp;"-"&amp;C631&amp;"-"&amp;TEXT(COUNTIFS($F$2:F631,F631,$C$2:C631,C631),"0000"))</f>
        <v/>
      </c>
      <c r="B631" s="13" t="n"/>
      <c r="C631" s="12">
        <f>IF(ISNUMBER(B631),YEAR(B631),"")</f>
        <v/>
      </c>
      <c r="D631" s="14" t="n"/>
      <c r="E631" s="14" t="n"/>
      <c r="F631" s="12">
        <f>IF(E631="","",IFERROR(VLOOKUP(E631,LISTAS!$A$2:$C$65,2,FALSE),"Revisar"))</f>
        <v/>
      </c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2">
        <f>IF(COUNTA(B631:B631)+COUNTA(D631:E631)+COUNTA(G631:AJ631)=0,"",IF(COUNTBLANK(B631:B631)+COUNTBLANK(D631:E631)+COUNTBLANK(G631:G631)+COUNTBLANK(O631:AJ631)&gt;0,"Faltan "&amp;(COUNTBLANK(B631:B631)+COUNTBLANK(D631:E631)+COUNTBLANK(G631:G631)+COUNTBLANK(O631:AJ631))&amp;" datos obligatorios",IF(NOT(ISNUMBER(B631)),"Fecha no válida",IF(N(B631)&gt;TODAY(),"Fecha futura",IF(IFERROR(VLOOKUP(E631,LISTAS!$A$2:$C$65,3,FALSE),"")&lt;&gt;D631,"La subregión no corresponde al municipio",IF(IF(L631="",FALSE,OR(L631&lt;0,L631&gt;110)),"Edad fuera de rango",IF((V631="Sí")+(W631="Sí")+(X631="Sí")+(Y631="Sí")=0,"Marque al menos un tipo de violencia","OK")))))))</f>
        <v/>
      </c>
    </row>
    <row r="632">
      <c r="A632" s="12">
        <f>IF(OR(F632="",F632="Revisar",C632=""),"",F632&amp;"-"&amp;C632&amp;"-"&amp;TEXT(COUNTIFS($F$2:F632,F632,$C$2:C632,C632),"0000"))</f>
        <v/>
      </c>
      <c r="B632" s="13" t="n"/>
      <c r="C632" s="12">
        <f>IF(ISNUMBER(B632),YEAR(B632),"")</f>
        <v/>
      </c>
      <c r="D632" s="14" t="n"/>
      <c r="E632" s="14" t="n"/>
      <c r="F632" s="12">
        <f>IF(E632="","",IFERROR(VLOOKUP(E632,LISTAS!$A$2:$C$65,2,FALSE),"Revisar"))</f>
        <v/>
      </c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2">
        <f>IF(COUNTA(B632:B632)+COUNTA(D632:E632)+COUNTA(G632:AJ632)=0,"",IF(COUNTBLANK(B632:B632)+COUNTBLANK(D632:E632)+COUNTBLANK(G632:G632)+COUNTBLANK(O632:AJ632)&gt;0,"Faltan "&amp;(COUNTBLANK(B632:B632)+COUNTBLANK(D632:E632)+COUNTBLANK(G632:G632)+COUNTBLANK(O632:AJ632))&amp;" datos obligatorios",IF(NOT(ISNUMBER(B632)),"Fecha no válida",IF(N(B632)&gt;TODAY(),"Fecha futura",IF(IFERROR(VLOOKUP(E632,LISTAS!$A$2:$C$65,3,FALSE),"")&lt;&gt;D632,"La subregión no corresponde al municipio",IF(IF(L632="",FALSE,OR(L632&lt;0,L632&gt;110)),"Edad fuera de rango",IF((V632="Sí")+(W632="Sí")+(X632="Sí")+(Y632="Sí")=0,"Marque al menos un tipo de violencia","OK")))))))</f>
        <v/>
      </c>
    </row>
    <row r="633">
      <c r="A633" s="12">
        <f>IF(OR(F633="",F633="Revisar",C633=""),"",F633&amp;"-"&amp;C633&amp;"-"&amp;TEXT(COUNTIFS($F$2:F633,F633,$C$2:C633,C633),"0000"))</f>
        <v/>
      </c>
      <c r="B633" s="13" t="n"/>
      <c r="C633" s="12">
        <f>IF(ISNUMBER(B633),YEAR(B633),"")</f>
        <v/>
      </c>
      <c r="D633" s="14" t="n"/>
      <c r="E633" s="14" t="n"/>
      <c r="F633" s="12">
        <f>IF(E633="","",IFERROR(VLOOKUP(E633,LISTAS!$A$2:$C$65,2,FALSE),"Revisar"))</f>
        <v/>
      </c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2">
        <f>IF(COUNTA(B633:B633)+COUNTA(D633:E633)+COUNTA(G633:AJ633)=0,"",IF(COUNTBLANK(B633:B633)+COUNTBLANK(D633:E633)+COUNTBLANK(G633:G633)+COUNTBLANK(O633:AJ633)&gt;0,"Faltan "&amp;(COUNTBLANK(B633:B633)+COUNTBLANK(D633:E633)+COUNTBLANK(G633:G633)+COUNTBLANK(O633:AJ633))&amp;" datos obligatorios",IF(NOT(ISNUMBER(B633)),"Fecha no válida",IF(N(B633)&gt;TODAY(),"Fecha futura",IF(IFERROR(VLOOKUP(E633,LISTAS!$A$2:$C$65,3,FALSE),"")&lt;&gt;D633,"La subregión no corresponde al municipio",IF(IF(L633="",FALSE,OR(L633&lt;0,L633&gt;110)),"Edad fuera de rango",IF((V633="Sí")+(W633="Sí")+(X633="Sí")+(Y633="Sí")=0,"Marque al menos un tipo de violencia","OK")))))))</f>
        <v/>
      </c>
    </row>
    <row r="634">
      <c r="A634" s="12">
        <f>IF(OR(F634="",F634="Revisar",C634=""),"",F634&amp;"-"&amp;C634&amp;"-"&amp;TEXT(COUNTIFS($F$2:F634,F634,$C$2:C634,C634),"0000"))</f>
        <v/>
      </c>
      <c r="B634" s="13" t="n"/>
      <c r="C634" s="12">
        <f>IF(ISNUMBER(B634),YEAR(B634),"")</f>
        <v/>
      </c>
      <c r="D634" s="14" t="n"/>
      <c r="E634" s="14" t="n"/>
      <c r="F634" s="12">
        <f>IF(E634="","",IFERROR(VLOOKUP(E634,LISTAS!$A$2:$C$65,2,FALSE),"Revisar"))</f>
        <v/>
      </c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2">
        <f>IF(COUNTA(B634:B634)+COUNTA(D634:E634)+COUNTA(G634:AJ634)=0,"",IF(COUNTBLANK(B634:B634)+COUNTBLANK(D634:E634)+COUNTBLANK(G634:G634)+COUNTBLANK(O634:AJ634)&gt;0,"Faltan "&amp;(COUNTBLANK(B634:B634)+COUNTBLANK(D634:E634)+COUNTBLANK(G634:G634)+COUNTBLANK(O634:AJ634))&amp;" datos obligatorios",IF(NOT(ISNUMBER(B634)),"Fecha no válida",IF(N(B634)&gt;TODAY(),"Fecha futura",IF(IFERROR(VLOOKUP(E634,LISTAS!$A$2:$C$65,3,FALSE),"")&lt;&gt;D634,"La subregión no corresponde al municipio",IF(IF(L634="",FALSE,OR(L634&lt;0,L634&gt;110)),"Edad fuera de rango",IF((V634="Sí")+(W634="Sí")+(X634="Sí")+(Y634="Sí")=0,"Marque al menos un tipo de violencia","OK")))))))</f>
        <v/>
      </c>
    </row>
    <row r="635">
      <c r="A635" s="12">
        <f>IF(OR(F635="",F635="Revisar",C635=""),"",F635&amp;"-"&amp;C635&amp;"-"&amp;TEXT(COUNTIFS($F$2:F635,F635,$C$2:C635,C635),"0000"))</f>
        <v/>
      </c>
      <c r="B635" s="13" t="n"/>
      <c r="C635" s="12">
        <f>IF(ISNUMBER(B635),YEAR(B635),"")</f>
        <v/>
      </c>
      <c r="D635" s="14" t="n"/>
      <c r="E635" s="14" t="n"/>
      <c r="F635" s="12">
        <f>IF(E635="","",IFERROR(VLOOKUP(E635,LISTAS!$A$2:$C$65,2,FALSE),"Revisar"))</f>
        <v/>
      </c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2">
        <f>IF(COUNTA(B635:B635)+COUNTA(D635:E635)+COUNTA(G635:AJ635)=0,"",IF(COUNTBLANK(B635:B635)+COUNTBLANK(D635:E635)+COUNTBLANK(G635:G635)+COUNTBLANK(O635:AJ635)&gt;0,"Faltan "&amp;(COUNTBLANK(B635:B635)+COUNTBLANK(D635:E635)+COUNTBLANK(G635:G635)+COUNTBLANK(O635:AJ635))&amp;" datos obligatorios",IF(NOT(ISNUMBER(B635)),"Fecha no válida",IF(N(B635)&gt;TODAY(),"Fecha futura",IF(IFERROR(VLOOKUP(E635,LISTAS!$A$2:$C$65,3,FALSE),"")&lt;&gt;D635,"La subregión no corresponde al municipio",IF(IF(L635="",FALSE,OR(L635&lt;0,L635&gt;110)),"Edad fuera de rango",IF((V635="Sí")+(W635="Sí")+(X635="Sí")+(Y635="Sí")=0,"Marque al menos un tipo de violencia","OK")))))))</f>
        <v/>
      </c>
    </row>
    <row r="636">
      <c r="A636" s="12">
        <f>IF(OR(F636="",F636="Revisar",C636=""),"",F636&amp;"-"&amp;C636&amp;"-"&amp;TEXT(COUNTIFS($F$2:F636,F636,$C$2:C636,C636),"0000"))</f>
        <v/>
      </c>
      <c r="B636" s="13" t="n"/>
      <c r="C636" s="12">
        <f>IF(ISNUMBER(B636),YEAR(B636),"")</f>
        <v/>
      </c>
      <c r="D636" s="14" t="n"/>
      <c r="E636" s="14" t="n"/>
      <c r="F636" s="12">
        <f>IF(E636="","",IFERROR(VLOOKUP(E636,LISTAS!$A$2:$C$65,2,FALSE),"Revisar"))</f>
        <v/>
      </c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2">
        <f>IF(COUNTA(B636:B636)+COUNTA(D636:E636)+COUNTA(G636:AJ636)=0,"",IF(COUNTBLANK(B636:B636)+COUNTBLANK(D636:E636)+COUNTBLANK(G636:G636)+COUNTBLANK(O636:AJ636)&gt;0,"Faltan "&amp;(COUNTBLANK(B636:B636)+COUNTBLANK(D636:E636)+COUNTBLANK(G636:G636)+COUNTBLANK(O636:AJ636))&amp;" datos obligatorios",IF(NOT(ISNUMBER(B636)),"Fecha no válida",IF(N(B636)&gt;TODAY(),"Fecha futura",IF(IFERROR(VLOOKUP(E636,LISTAS!$A$2:$C$65,3,FALSE),"")&lt;&gt;D636,"La subregión no corresponde al municipio",IF(IF(L636="",FALSE,OR(L636&lt;0,L636&gt;110)),"Edad fuera de rango",IF((V636="Sí")+(W636="Sí")+(X636="Sí")+(Y636="Sí")=0,"Marque al menos un tipo de violencia","OK")))))))</f>
        <v/>
      </c>
    </row>
    <row r="637">
      <c r="A637" s="12">
        <f>IF(OR(F637="",F637="Revisar",C637=""),"",F637&amp;"-"&amp;C637&amp;"-"&amp;TEXT(COUNTIFS($F$2:F637,F637,$C$2:C637,C637),"0000"))</f>
        <v/>
      </c>
      <c r="B637" s="13" t="n"/>
      <c r="C637" s="12">
        <f>IF(ISNUMBER(B637),YEAR(B637),"")</f>
        <v/>
      </c>
      <c r="D637" s="14" t="n"/>
      <c r="E637" s="14" t="n"/>
      <c r="F637" s="12">
        <f>IF(E637="","",IFERROR(VLOOKUP(E637,LISTAS!$A$2:$C$65,2,FALSE),"Revisar"))</f>
        <v/>
      </c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2">
        <f>IF(COUNTA(B637:B637)+COUNTA(D637:E637)+COUNTA(G637:AJ637)=0,"",IF(COUNTBLANK(B637:B637)+COUNTBLANK(D637:E637)+COUNTBLANK(G637:G637)+COUNTBLANK(O637:AJ637)&gt;0,"Faltan "&amp;(COUNTBLANK(B637:B637)+COUNTBLANK(D637:E637)+COUNTBLANK(G637:G637)+COUNTBLANK(O637:AJ637))&amp;" datos obligatorios",IF(NOT(ISNUMBER(B637)),"Fecha no válida",IF(N(B637)&gt;TODAY(),"Fecha futura",IF(IFERROR(VLOOKUP(E637,LISTAS!$A$2:$C$65,3,FALSE),"")&lt;&gt;D637,"La subregión no corresponde al municipio",IF(IF(L637="",FALSE,OR(L637&lt;0,L637&gt;110)),"Edad fuera de rango",IF((V637="Sí")+(W637="Sí")+(X637="Sí")+(Y637="Sí")=0,"Marque al menos un tipo de violencia","OK")))))))</f>
        <v/>
      </c>
    </row>
    <row r="638">
      <c r="A638" s="12">
        <f>IF(OR(F638="",F638="Revisar",C638=""),"",F638&amp;"-"&amp;C638&amp;"-"&amp;TEXT(COUNTIFS($F$2:F638,F638,$C$2:C638,C638),"0000"))</f>
        <v/>
      </c>
      <c r="B638" s="13" t="n"/>
      <c r="C638" s="12">
        <f>IF(ISNUMBER(B638),YEAR(B638),"")</f>
        <v/>
      </c>
      <c r="D638" s="14" t="n"/>
      <c r="E638" s="14" t="n"/>
      <c r="F638" s="12">
        <f>IF(E638="","",IFERROR(VLOOKUP(E638,LISTAS!$A$2:$C$65,2,FALSE),"Revisar"))</f>
        <v/>
      </c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2">
        <f>IF(COUNTA(B638:B638)+COUNTA(D638:E638)+COUNTA(G638:AJ638)=0,"",IF(COUNTBLANK(B638:B638)+COUNTBLANK(D638:E638)+COUNTBLANK(G638:G638)+COUNTBLANK(O638:AJ638)&gt;0,"Faltan "&amp;(COUNTBLANK(B638:B638)+COUNTBLANK(D638:E638)+COUNTBLANK(G638:G638)+COUNTBLANK(O638:AJ638))&amp;" datos obligatorios",IF(NOT(ISNUMBER(B638)),"Fecha no válida",IF(N(B638)&gt;TODAY(),"Fecha futura",IF(IFERROR(VLOOKUP(E638,LISTAS!$A$2:$C$65,3,FALSE),"")&lt;&gt;D638,"La subregión no corresponde al municipio",IF(IF(L638="",FALSE,OR(L638&lt;0,L638&gt;110)),"Edad fuera de rango",IF((V638="Sí")+(W638="Sí")+(X638="Sí")+(Y638="Sí")=0,"Marque al menos un tipo de violencia","OK")))))))</f>
        <v/>
      </c>
    </row>
    <row r="639">
      <c r="A639" s="12">
        <f>IF(OR(F639="",F639="Revisar",C639=""),"",F639&amp;"-"&amp;C639&amp;"-"&amp;TEXT(COUNTIFS($F$2:F639,F639,$C$2:C639,C639),"0000"))</f>
        <v/>
      </c>
      <c r="B639" s="13" t="n"/>
      <c r="C639" s="12">
        <f>IF(ISNUMBER(B639),YEAR(B639),"")</f>
        <v/>
      </c>
      <c r="D639" s="14" t="n"/>
      <c r="E639" s="14" t="n"/>
      <c r="F639" s="12">
        <f>IF(E639="","",IFERROR(VLOOKUP(E639,LISTAS!$A$2:$C$65,2,FALSE),"Revisar"))</f>
        <v/>
      </c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2">
        <f>IF(COUNTA(B639:B639)+COUNTA(D639:E639)+COUNTA(G639:AJ639)=0,"",IF(COUNTBLANK(B639:B639)+COUNTBLANK(D639:E639)+COUNTBLANK(G639:G639)+COUNTBLANK(O639:AJ639)&gt;0,"Faltan "&amp;(COUNTBLANK(B639:B639)+COUNTBLANK(D639:E639)+COUNTBLANK(G639:G639)+COUNTBLANK(O639:AJ639))&amp;" datos obligatorios",IF(NOT(ISNUMBER(B639)),"Fecha no válida",IF(N(B639)&gt;TODAY(),"Fecha futura",IF(IFERROR(VLOOKUP(E639,LISTAS!$A$2:$C$65,3,FALSE),"")&lt;&gt;D639,"La subregión no corresponde al municipio",IF(IF(L639="",FALSE,OR(L639&lt;0,L639&gt;110)),"Edad fuera de rango",IF((V639="Sí")+(W639="Sí")+(X639="Sí")+(Y639="Sí")=0,"Marque al menos un tipo de violencia","OK")))))))</f>
        <v/>
      </c>
    </row>
    <row r="640">
      <c r="A640" s="12">
        <f>IF(OR(F640="",F640="Revisar",C640=""),"",F640&amp;"-"&amp;C640&amp;"-"&amp;TEXT(COUNTIFS($F$2:F640,F640,$C$2:C640,C640),"0000"))</f>
        <v/>
      </c>
      <c r="B640" s="13" t="n"/>
      <c r="C640" s="12">
        <f>IF(ISNUMBER(B640),YEAR(B640),"")</f>
        <v/>
      </c>
      <c r="D640" s="14" t="n"/>
      <c r="E640" s="14" t="n"/>
      <c r="F640" s="12">
        <f>IF(E640="","",IFERROR(VLOOKUP(E640,LISTAS!$A$2:$C$65,2,FALSE),"Revisar"))</f>
        <v/>
      </c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2">
        <f>IF(COUNTA(B640:B640)+COUNTA(D640:E640)+COUNTA(G640:AJ640)=0,"",IF(COUNTBLANK(B640:B640)+COUNTBLANK(D640:E640)+COUNTBLANK(G640:G640)+COUNTBLANK(O640:AJ640)&gt;0,"Faltan "&amp;(COUNTBLANK(B640:B640)+COUNTBLANK(D640:E640)+COUNTBLANK(G640:G640)+COUNTBLANK(O640:AJ640))&amp;" datos obligatorios",IF(NOT(ISNUMBER(B640)),"Fecha no válida",IF(N(B640)&gt;TODAY(),"Fecha futura",IF(IFERROR(VLOOKUP(E640,LISTAS!$A$2:$C$65,3,FALSE),"")&lt;&gt;D640,"La subregión no corresponde al municipio",IF(IF(L640="",FALSE,OR(L640&lt;0,L640&gt;110)),"Edad fuera de rango",IF((V640="Sí")+(W640="Sí")+(X640="Sí")+(Y640="Sí")=0,"Marque al menos un tipo de violencia","OK")))))))</f>
        <v/>
      </c>
    </row>
    <row r="641">
      <c r="A641" s="12">
        <f>IF(OR(F641="",F641="Revisar",C641=""),"",F641&amp;"-"&amp;C641&amp;"-"&amp;TEXT(COUNTIFS($F$2:F641,F641,$C$2:C641,C641),"0000"))</f>
        <v/>
      </c>
      <c r="B641" s="13" t="n"/>
      <c r="C641" s="12">
        <f>IF(ISNUMBER(B641),YEAR(B641),"")</f>
        <v/>
      </c>
      <c r="D641" s="14" t="n"/>
      <c r="E641" s="14" t="n"/>
      <c r="F641" s="12">
        <f>IF(E641="","",IFERROR(VLOOKUP(E641,LISTAS!$A$2:$C$65,2,FALSE),"Revisar"))</f>
        <v/>
      </c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2">
        <f>IF(COUNTA(B641:B641)+COUNTA(D641:E641)+COUNTA(G641:AJ641)=0,"",IF(COUNTBLANK(B641:B641)+COUNTBLANK(D641:E641)+COUNTBLANK(G641:G641)+COUNTBLANK(O641:AJ641)&gt;0,"Faltan "&amp;(COUNTBLANK(B641:B641)+COUNTBLANK(D641:E641)+COUNTBLANK(G641:G641)+COUNTBLANK(O641:AJ641))&amp;" datos obligatorios",IF(NOT(ISNUMBER(B641)),"Fecha no válida",IF(N(B641)&gt;TODAY(),"Fecha futura",IF(IFERROR(VLOOKUP(E641,LISTAS!$A$2:$C$65,3,FALSE),"")&lt;&gt;D641,"La subregión no corresponde al municipio",IF(IF(L641="",FALSE,OR(L641&lt;0,L641&gt;110)),"Edad fuera de rango",IF((V641="Sí")+(W641="Sí")+(X641="Sí")+(Y641="Sí")=0,"Marque al menos un tipo de violencia","OK")))))))</f>
        <v/>
      </c>
    </row>
    <row r="642">
      <c r="A642" s="12">
        <f>IF(OR(F642="",F642="Revisar",C642=""),"",F642&amp;"-"&amp;C642&amp;"-"&amp;TEXT(COUNTIFS($F$2:F642,F642,$C$2:C642,C642),"0000"))</f>
        <v/>
      </c>
      <c r="B642" s="13" t="n"/>
      <c r="C642" s="12">
        <f>IF(ISNUMBER(B642),YEAR(B642),"")</f>
        <v/>
      </c>
      <c r="D642" s="14" t="n"/>
      <c r="E642" s="14" t="n"/>
      <c r="F642" s="12">
        <f>IF(E642="","",IFERROR(VLOOKUP(E642,LISTAS!$A$2:$C$65,2,FALSE),"Revisar"))</f>
        <v/>
      </c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2">
        <f>IF(COUNTA(B642:B642)+COUNTA(D642:E642)+COUNTA(G642:AJ642)=0,"",IF(COUNTBLANK(B642:B642)+COUNTBLANK(D642:E642)+COUNTBLANK(G642:G642)+COUNTBLANK(O642:AJ642)&gt;0,"Faltan "&amp;(COUNTBLANK(B642:B642)+COUNTBLANK(D642:E642)+COUNTBLANK(G642:G642)+COUNTBLANK(O642:AJ642))&amp;" datos obligatorios",IF(NOT(ISNUMBER(B642)),"Fecha no válida",IF(N(B642)&gt;TODAY(),"Fecha futura",IF(IFERROR(VLOOKUP(E642,LISTAS!$A$2:$C$65,3,FALSE),"")&lt;&gt;D642,"La subregión no corresponde al municipio",IF(IF(L642="",FALSE,OR(L642&lt;0,L642&gt;110)),"Edad fuera de rango",IF((V642="Sí")+(W642="Sí")+(X642="Sí")+(Y642="Sí")=0,"Marque al menos un tipo de violencia","OK")))))))</f>
        <v/>
      </c>
    </row>
    <row r="643">
      <c r="A643" s="12">
        <f>IF(OR(F643="",F643="Revisar",C643=""),"",F643&amp;"-"&amp;C643&amp;"-"&amp;TEXT(COUNTIFS($F$2:F643,F643,$C$2:C643,C643),"0000"))</f>
        <v/>
      </c>
      <c r="B643" s="13" t="n"/>
      <c r="C643" s="12">
        <f>IF(ISNUMBER(B643),YEAR(B643),"")</f>
        <v/>
      </c>
      <c r="D643" s="14" t="n"/>
      <c r="E643" s="14" t="n"/>
      <c r="F643" s="12">
        <f>IF(E643="","",IFERROR(VLOOKUP(E643,LISTAS!$A$2:$C$65,2,FALSE),"Revisar"))</f>
        <v/>
      </c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2">
        <f>IF(COUNTA(B643:B643)+COUNTA(D643:E643)+COUNTA(G643:AJ643)=0,"",IF(COUNTBLANK(B643:B643)+COUNTBLANK(D643:E643)+COUNTBLANK(G643:G643)+COUNTBLANK(O643:AJ643)&gt;0,"Faltan "&amp;(COUNTBLANK(B643:B643)+COUNTBLANK(D643:E643)+COUNTBLANK(G643:G643)+COUNTBLANK(O643:AJ643))&amp;" datos obligatorios",IF(NOT(ISNUMBER(B643)),"Fecha no válida",IF(N(B643)&gt;TODAY(),"Fecha futura",IF(IFERROR(VLOOKUP(E643,LISTAS!$A$2:$C$65,3,FALSE),"")&lt;&gt;D643,"La subregión no corresponde al municipio",IF(IF(L643="",FALSE,OR(L643&lt;0,L643&gt;110)),"Edad fuera de rango",IF((V643="Sí")+(W643="Sí")+(X643="Sí")+(Y643="Sí")=0,"Marque al menos un tipo de violencia","OK")))))))</f>
        <v/>
      </c>
    </row>
    <row r="644">
      <c r="A644" s="12">
        <f>IF(OR(F644="",F644="Revisar",C644=""),"",F644&amp;"-"&amp;C644&amp;"-"&amp;TEXT(COUNTIFS($F$2:F644,F644,$C$2:C644,C644),"0000"))</f>
        <v/>
      </c>
      <c r="B644" s="13" t="n"/>
      <c r="C644" s="12">
        <f>IF(ISNUMBER(B644),YEAR(B644),"")</f>
        <v/>
      </c>
      <c r="D644" s="14" t="n"/>
      <c r="E644" s="14" t="n"/>
      <c r="F644" s="12">
        <f>IF(E644="","",IFERROR(VLOOKUP(E644,LISTAS!$A$2:$C$65,2,FALSE),"Revisar"))</f>
        <v/>
      </c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2">
        <f>IF(COUNTA(B644:B644)+COUNTA(D644:E644)+COUNTA(G644:AJ644)=0,"",IF(COUNTBLANK(B644:B644)+COUNTBLANK(D644:E644)+COUNTBLANK(G644:G644)+COUNTBLANK(O644:AJ644)&gt;0,"Faltan "&amp;(COUNTBLANK(B644:B644)+COUNTBLANK(D644:E644)+COUNTBLANK(G644:G644)+COUNTBLANK(O644:AJ644))&amp;" datos obligatorios",IF(NOT(ISNUMBER(B644)),"Fecha no válida",IF(N(B644)&gt;TODAY(),"Fecha futura",IF(IFERROR(VLOOKUP(E644,LISTAS!$A$2:$C$65,3,FALSE),"")&lt;&gt;D644,"La subregión no corresponde al municipio",IF(IF(L644="",FALSE,OR(L644&lt;0,L644&gt;110)),"Edad fuera de rango",IF((V644="Sí")+(W644="Sí")+(X644="Sí")+(Y644="Sí")=0,"Marque al menos un tipo de violencia","OK")))))))</f>
        <v/>
      </c>
    </row>
    <row r="645">
      <c r="A645" s="12">
        <f>IF(OR(F645="",F645="Revisar",C645=""),"",F645&amp;"-"&amp;C645&amp;"-"&amp;TEXT(COUNTIFS($F$2:F645,F645,$C$2:C645,C645),"0000"))</f>
        <v/>
      </c>
      <c r="B645" s="13" t="n"/>
      <c r="C645" s="12">
        <f>IF(ISNUMBER(B645),YEAR(B645),"")</f>
        <v/>
      </c>
      <c r="D645" s="14" t="n"/>
      <c r="E645" s="14" t="n"/>
      <c r="F645" s="12">
        <f>IF(E645="","",IFERROR(VLOOKUP(E645,LISTAS!$A$2:$C$65,2,FALSE),"Revisar"))</f>
        <v/>
      </c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2">
        <f>IF(COUNTA(B645:B645)+COUNTA(D645:E645)+COUNTA(G645:AJ645)=0,"",IF(COUNTBLANK(B645:B645)+COUNTBLANK(D645:E645)+COUNTBLANK(G645:G645)+COUNTBLANK(O645:AJ645)&gt;0,"Faltan "&amp;(COUNTBLANK(B645:B645)+COUNTBLANK(D645:E645)+COUNTBLANK(G645:G645)+COUNTBLANK(O645:AJ645))&amp;" datos obligatorios",IF(NOT(ISNUMBER(B645)),"Fecha no válida",IF(N(B645)&gt;TODAY(),"Fecha futura",IF(IFERROR(VLOOKUP(E645,LISTAS!$A$2:$C$65,3,FALSE),"")&lt;&gt;D645,"La subregión no corresponde al municipio",IF(IF(L645="",FALSE,OR(L645&lt;0,L645&gt;110)),"Edad fuera de rango",IF((V645="Sí")+(W645="Sí")+(X645="Sí")+(Y645="Sí")=0,"Marque al menos un tipo de violencia","OK")))))))</f>
        <v/>
      </c>
    </row>
    <row r="646">
      <c r="A646" s="12">
        <f>IF(OR(F646="",F646="Revisar",C646=""),"",F646&amp;"-"&amp;C646&amp;"-"&amp;TEXT(COUNTIFS($F$2:F646,F646,$C$2:C646,C646),"0000"))</f>
        <v/>
      </c>
      <c r="B646" s="13" t="n"/>
      <c r="C646" s="12">
        <f>IF(ISNUMBER(B646),YEAR(B646),"")</f>
        <v/>
      </c>
      <c r="D646" s="14" t="n"/>
      <c r="E646" s="14" t="n"/>
      <c r="F646" s="12">
        <f>IF(E646="","",IFERROR(VLOOKUP(E646,LISTAS!$A$2:$C$65,2,FALSE),"Revisar"))</f>
        <v/>
      </c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2">
        <f>IF(COUNTA(B646:B646)+COUNTA(D646:E646)+COUNTA(G646:AJ646)=0,"",IF(COUNTBLANK(B646:B646)+COUNTBLANK(D646:E646)+COUNTBLANK(G646:G646)+COUNTBLANK(O646:AJ646)&gt;0,"Faltan "&amp;(COUNTBLANK(B646:B646)+COUNTBLANK(D646:E646)+COUNTBLANK(G646:G646)+COUNTBLANK(O646:AJ646))&amp;" datos obligatorios",IF(NOT(ISNUMBER(B646)),"Fecha no válida",IF(N(B646)&gt;TODAY(),"Fecha futura",IF(IFERROR(VLOOKUP(E646,LISTAS!$A$2:$C$65,3,FALSE),"")&lt;&gt;D646,"La subregión no corresponde al municipio",IF(IF(L646="",FALSE,OR(L646&lt;0,L646&gt;110)),"Edad fuera de rango",IF((V646="Sí")+(W646="Sí")+(X646="Sí")+(Y646="Sí")=0,"Marque al menos un tipo de violencia","OK")))))))</f>
        <v/>
      </c>
    </row>
    <row r="647">
      <c r="A647" s="12">
        <f>IF(OR(F647="",F647="Revisar",C647=""),"",F647&amp;"-"&amp;C647&amp;"-"&amp;TEXT(COUNTIFS($F$2:F647,F647,$C$2:C647,C647),"0000"))</f>
        <v/>
      </c>
      <c r="B647" s="13" t="n"/>
      <c r="C647" s="12">
        <f>IF(ISNUMBER(B647),YEAR(B647),"")</f>
        <v/>
      </c>
      <c r="D647" s="14" t="n"/>
      <c r="E647" s="14" t="n"/>
      <c r="F647" s="12">
        <f>IF(E647="","",IFERROR(VLOOKUP(E647,LISTAS!$A$2:$C$65,2,FALSE),"Revisar"))</f>
        <v/>
      </c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2">
        <f>IF(COUNTA(B647:B647)+COUNTA(D647:E647)+COUNTA(G647:AJ647)=0,"",IF(COUNTBLANK(B647:B647)+COUNTBLANK(D647:E647)+COUNTBLANK(G647:G647)+COUNTBLANK(O647:AJ647)&gt;0,"Faltan "&amp;(COUNTBLANK(B647:B647)+COUNTBLANK(D647:E647)+COUNTBLANK(G647:G647)+COUNTBLANK(O647:AJ647))&amp;" datos obligatorios",IF(NOT(ISNUMBER(B647)),"Fecha no válida",IF(N(B647)&gt;TODAY(),"Fecha futura",IF(IFERROR(VLOOKUP(E647,LISTAS!$A$2:$C$65,3,FALSE),"")&lt;&gt;D647,"La subregión no corresponde al municipio",IF(IF(L647="",FALSE,OR(L647&lt;0,L647&gt;110)),"Edad fuera de rango",IF((V647="Sí")+(W647="Sí")+(X647="Sí")+(Y647="Sí")=0,"Marque al menos un tipo de violencia","OK")))))))</f>
        <v/>
      </c>
    </row>
    <row r="648">
      <c r="A648" s="12">
        <f>IF(OR(F648="",F648="Revisar",C648=""),"",F648&amp;"-"&amp;C648&amp;"-"&amp;TEXT(COUNTIFS($F$2:F648,F648,$C$2:C648,C648),"0000"))</f>
        <v/>
      </c>
      <c r="B648" s="13" t="n"/>
      <c r="C648" s="12">
        <f>IF(ISNUMBER(B648),YEAR(B648),"")</f>
        <v/>
      </c>
      <c r="D648" s="14" t="n"/>
      <c r="E648" s="14" t="n"/>
      <c r="F648" s="12">
        <f>IF(E648="","",IFERROR(VLOOKUP(E648,LISTAS!$A$2:$C$65,2,FALSE),"Revisar"))</f>
        <v/>
      </c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2">
        <f>IF(COUNTA(B648:B648)+COUNTA(D648:E648)+COUNTA(G648:AJ648)=0,"",IF(COUNTBLANK(B648:B648)+COUNTBLANK(D648:E648)+COUNTBLANK(G648:G648)+COUNTBLANK(O648:AJ648)&gt;0,"Faltan "&amp;(COUNTBLANK(B648:B648)+COUNTBLANK(D648:E648)+COUNTBLANK(G648:G648)+COUNTBLANK(O648:AJ648))&amp;" datos obligatorios",IF(NOT(ISNUMBER(B648)),"Fecha no válida",IF(N(B648)&gt;TODAY(),"Fecha futura",IF(IFERROR(VLOOKUP(E648,LISTAS!$A$2:$C$65,3,FALSE),"")&lt;&gt;D648,"La subregión no corresponde al municipio",IF(IF(L648="",FALSE,OR(L648&lt;0,L648&gt;110)),"Edad fuera de rango",IF((V648="Sí")+(W648="Sí")+(X648="Sí")+(Y648="Sí")=0,"Marque al menos un tipo de violencia","OK")))))))</f>
        <v/>
      </c>
    </row>
    <row r="649">
      <c r="A649" s="12">
        <f>IF(OR(F649="",F649="Revisar",C649=""),"",F649&amp;"-"&amp;C649&amp;"-"&amp;TEXT(COUNTIFS($F$2:F649,F649,$C$2:C649,C649),"0000"))</f>
        <v/>
      </c>
      <c r="B649" s="13" t="n"/>
      <c r="C649" s="12">
        <f>IF(ISNUMBER(B649),YEAR(B649),"")</f>
        <v/>
      </c>
      <c r="D649" s="14" t="n"/>
      <c r="E649" s="14" t="n"/>
      <c r="F649" s="12">
        <f>IF(E649="","",IFERROR(VLOOKUP(E649,LISTAS!$A$2:$C$65,2,FALSE),"Revisar"))</f>
        <v/>
      </c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2">
        <f>IF(COUNTA(B649:B649)+COUNTA(D649:E649)+COUNTA(G649:AJ649)=0,"",IF(COUNTBLANK(B649:B649)+COUNTBLANK(D649:E649)+COUNTBLANK(G649:G649)+COUNTBLANK(O649:AJ649)&gt;0,"Faltan "&amp;(COUNTBLANK(B649:B649)+COUNTBLANK(D649:E649)+COUNTBLANK(G649:G649)+COUNTBLANK(O649:AJ649))&amp;" datos obligatorios",IF(NOT(ISNUMBER(B649)),"Fecha no válida",IF(N(B649)&gt;TODAY(),"Fecha futura",IF(IFERROR(VLOOKUP(E649,LISTAS!$A$2:$C$65,3,FALSE),"")&lt;&gt;D649,"La subregión no corresponde al municipio",IF(IF(L649="",FALSE,OR(L649&lt;0,L649&gt;110)),"Edad fuera de rango",IF((V649="Sí")+(W649="Sí")+(X649="Sí")+(Y649="Sí")=0,"Marque al menos un tipo de violencia","OK")))))))</f>
        <v/>
      </c>
    </row>
    <row r="650">
      <c r="A650" s="12">
        <f>IF(OR(F650="",F650="Revisar",C650=""),"",F650&amp;"-"&amp;C650&amp;"-"&amp;TEXT(COUNTIFS($F$2:F650,F650,$C$2:C650,C650),"0000"))</f>
        <v/>
      </c>
      <c r="B650" s="13" t="n"/>
      <c r="C650" s="12">
        <f>IF(ISNUMBER(B650),YEAR(B650),"")</f>
        <v/>
      </c>
      <c r="D650" s="14" t="n"/>
      <c r="E650" s="14" t="n"/>
      <c r="F650" s="12">
        <f>IF(E650="","",IFERROR(VLOOKUP(E650,LISTAS!$A$2:$C$65,2,FALSE),"Revisar"))</f>
        <v/>
      </c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2">
        <f>IF(COUNTA(B650:B650)+COUNTA(D650:E650)+COUNTA(G650:AJ650)=0,"",IF(COUNTBLANK(B650:B650)+COUNTBLANK(D650:E650)+COUNTBLANK(G650:G650)+COUNTBLANK(O650:AJ650)&gt;0,"Faltan "&amp;(COUNTBLANK(B650:B650)+COUNTBLANK(D650:E650)+COUNTBLANK(G650:G650)+COUNTBLANK(O650:AJ650))&amp;" datos obligatorios",IF(NOT(ISNUMBER(B650)),"Fecha no válida",IF(N(B650)&gt;TODAY(),"Fecha futura",IF(IFERROR(VLOOKUP(E650,LISTAS!$A$2:$C$65,3,FALSE),"")&lt;&gt;D650,"La subregión no corresponde al municipio",IF(IF(L650="",FALSE,OR(L650&lt;0,L650&gt;110)),"Edad fuera de rango",IF((V650="Sí")+(W650="Sí")+(X650="Sí")+(Y650="Sí")=0,"Marque al menos un tipo de violencia","OK")))))))</f>
        <v/>
      </c>
    </row>
    <row r="651">
      <c r="A651" s="12">
        <f>IF(OR(F651="",F651="Revisar",C651=""),"",F651&amp;"-"&amp;C651&amp;"-"&amp;TEXT(COUNTIFS($F$2:F651,F651,$C$2:C651,C651),"0000"))</f>
        <v/>
      </c>
      <c r="B651" s="13" t="n"/>
      <c r="C651" s="12">
        <f>IF(ISNUMBER(B651),YEAR(B651),"")</f>
        <v/>
      </c>
      <c r="D651" s="14" t="n"/>
      <c r="E651" s="14" t="n"/>
      <c r="F651" s="12">
        <f>IF(E651="","",IFERROR(VLOOKUP(E651,LISTAS!$A$2:$C$65,2,FALSE),"Revisar"))</f>
        <v/>
      </c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2">
        <f>IF(COUNTA(B651:B651)+COUNTA(D651:E651)+COUNTA(G651:AJ651)=0,"",IF(COUNTBLANK(B651:B651)+COUNTBLANK(D651:E651)+COUNTBLANK(G651:G651)+COUNTBLANK(O651:AJ651)&gt;0,"Faltan "&amp;(COUNTBLANK(B651:B651)+COUNTBLANK(D651:E651)+COUNTBLANK(G651:G651)+COUNTBLANK(O651:AJ651))&amp;" datos obligatorios",IF(NOT(ISNUMBER(B651)),"Fecha no válida",IF(N(B651)&gt;TODAY(),"Fecha futura",IF(IFERROR(VLOOKUP(E651,LISTAS!$A$2:$C$65,3,FALSE),"")&lt;&gt;D651,"La subregión no corresponde al municipio",IF(IF(L651="",FALSE,OR(L651&lt;0,L651&gt;110)),"Edad fuera de rango",IF((V651="Sí")+(W651="Sí")+(X651="Sí")+(Y651="Sí")=0,"Marque al menos un tipo de violencia","OK")))))))</f>
        <v/>
      </c>
    </row>
    <row r="652">
      <c r="A652" s="12">
        <f>IF(OR(F652="",F652="Revisar",C652=""),"",F652&amp;"-"&amp;C652&amp;"-"&amp;TEXT(COUNTIFS($F$2:F652,F652,$C$2:C652,C652),"0000"))</f>
        <v/>
      </c>
      <c r="B652" s="13" t="n"/>
      <c r="C652" s="12">
        <f>IF(ISNUMBER(B652),YEAR(B652),"")</f>
        <v/>
      </c>
      <c r="D652" s="14" t="n"/>
      <c r="E652" s="14" t="n"/>
      <c r="F652" s="12">
        <f>IF(E652="","",IFERROR(VLOOKUP(E652,LISTAS!$A$2:$C$65,2,FALSE),"Revisar"))</f>
        <v/>
      </c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2">
        <f>IF(COUNTA(B652:B652)+COUNTA(D652:E652)+COUNTA(G652:AJ652)=0,"",IF(COUNTBLANK(B652:B652)+COUNTBLANK(D652:E652)+COUNTBLANK(G652:G652)+COUNTBLANK(O652:AJ652)&gt;0,"Faltan "&amp;(COUNTBLANK(B652:B652)+COUNTBLANK(D652:E652)+COUNTBLANK(G652:G652)+COUNTBLANK(O652:AJ652))&amp;" datos obligatorios",IF(NOT(ISNUMBER(B652)),"Fecha no válida",IF(N(B652)&gt;TODAY(),"Fecha futura",IF(IFERROR(VLOOKUP(E652,LISTAS!$A$2:$C$65,3,FALSE),"")&lt;&gt;D652,"La subregión no corresponde al municipio",IF(IF(L652="",FALSE,OR(L652&lt;0,L652&gt;110)),"Edad fuera de rango",IF((V652="Sí")+(W652="Sí")+(X652="Sí")+(Y652="Sí")=0,"Marque al menos un tipo de violencia","OK")))))))</f>
        <v/>
      </c>
    </row>
    <row r="653">
      <c r="A653" s="12">
        <f>IF(OR(F653="",F653="Revisar",C653=""),"",F653&amp;"-"&amp;C653&amp;"-"&amp;TEXT(COUNTIFS($F$2:F653,F653,$C$2:C653,C653),"0000"))</f>
        <v/>
      </c>
      <c r="B653" s="13" t="n"/>
      <c r="C653" s="12">
        <f>IF(ISNUMBER(B653),YEAR(B653),"")</f>
        <v/>
      </c>
      <c r="D653" s="14" t="n"/>
      <c r="E653" s="14" t="n"/>
      <c r="F653" s="12">
        <f>IF(E653="","",IFERROR(VLOOKUP(E653,LISTAS!$A$2:$C$65,2,FALSE),"Revisar"))</f>
        <v/>
      </c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2">
        <f>IF(COUNTA(B653:B653)+COUNTA(D653:E653)+COUNTA(G653:AJ653)=0,"",IF(COUNTBLANK(B653:B653)+COUNTBLANK(D653:E653)+COUNTBLANK(G653:G653)+COUNTBLANK(O653:AJ653)&gt;0,"Faltan "&amp;(COUNTBLANK(B653:B653)+COUNTBLANK(D653:E653)+COUNTBLANK(G653:G653)+COUNTBLANK(O653:AJ653))&amp;" datos obligatorios",IF(NOT(ISNUMBER(B653)),"Fecha no válida",IF(N(B653)&gt;TODAY(),"Fecha futura",IF(IFERROR(VLOOKUP(E653,LISTAS!$A$2:$C$65,3,FALSE),"")&lt;&gt;D653,"La subregión no corresponde al municipio",IF(IF(L653="",FALSE,OR(L653&lt;0,L653&gt;110)),"Edad fuera de rango",IF((V653="Sí")+(W653="Sí")+(X653="Sí")+(Y653="Sí")=0,"Marque al menos un tipo de violencia","OK")))))))</f>
        <v/>
      </c>
    </row>
    <row r="654">
      <c r="A654" s="12">
        <f>IF(OR(F654="",F654="Revisar",C654=""),"",F654&amp;"-"&amp;C654&amp;"-"&amp;TEXT(COUNTIFS($F$2:F654,F654,$C$2:C654,C654),"0000"))</f>
        <v/>
      </c>
      <c r="B654" s="13" t="n"/>
      <c r="C654" s="12">
        <f>IF(ISNUMBER(B654),YEAR(B654),"")</f>
        <v/>
      </c>
      <c r="D654" s="14" t="n"/>
      <c r="E654" s="14" t="n"/>
      <c r="F654" s="12">
        <f>IF(E654="","",IFERROR(VLOOKUP(E654,LISTAS!$A$2:$C$65,2,FALSE),"Revisar"))</f>
        <v/>
      </c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2">
        <f>IF(COUNTA(B654:B654)+COUNTA(D654:E654)+COUNTA(G654:AJ654)=0,"",IF(COUNTBLANK(B654:B654)+COUNTBLANK(D654:E654)+COUNTBLANK(G654:G654)+COUNTBLANK(O654:AJ654)&gt;0,"Faltan "&amp;(COUNTBLANK(B654:B654)+COUNTBLANK(D654:E654)+COUNTBLANK(G654:G654)+COUNTBLANK(O654:AJ654))&amp;" datos obligatorios",IF(NOT(ISNUMBER(B654)),"Fecha no válida",IF(N(B654)&gt;TODAY(),"Fecha futura",IF(IFERROR(VLOOKUP(E654,LISTAS!$A$2:$C$65,3,FALSE),"")&lt;&gt;D654,"La subregión no corresponde al municipio",IF(IF(L654="",FALSE,OR(L654&lt;0,L654&gt;110)),"Edad fuera de rango",IF((V654="Sí")+(W654="Sí")+(X654="Sí")+(Y654="Sí")=0,"Marque al menos un tipo de violencia","OK")))))))</f>
        <v/>
      </c>
    </row>
    <row r="655">
      <c r="A655" s="12">
        <f>IF(OR(F655="",F655="Revisar",C655=""),"",F655&amp;"-"&amp;C655&amp;"-"&amp;TEXT(COUNTIFS($F$2:F655,F655,$C$2:C655,C655),"0000"))</f>
        <v/>
      </c>
      <c r="B655" s="13" t="n"/>
      <c r="C655" s="12">
        <f>IF(ISNUMBER(B655),YEAR(B655),"")</f>
        <v/>
      </c>
      <c r="D655" s="14" t="n"/>
      <c r="E655" s="14" t="n"/>
      <c r="F655" s="12">
        <f>IF(E655="","",IFERROR(VLOOKUP(E655,LISTAS!$A$2:$C$65,2,FALSE),"Revisar"))</f>
        <v/>
      </c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2">
        <f>IF(COUNTA(B655:B655)+COUNTA(D655:E655)+COUNTA(G655:AJ655)=0,"",IF(COUNTBLANK(B655:B655)+COUNTBLANK(D655:E655)+COUNTBLANK(G655:G655)+COUNTBLANK(O655:AJ655)&gt;0,"Faltan "&amp;(COUNTBLANK(B655:B655)+COUNTBLANK(D655:E655)+COUNTBLANK(G655:G655)+COUNTBLANK(O655:AJ655))&amp;" datos obligatorios",IF(NOT(ISNUMBER(B655)),"Fecha no válida",IF(N(B655)&gt;TODAY(),"Fecha futura",IF(IFERROR(VLOOKUP(E655,LISTAS!$A$2:$C$65,3,FALSE),"")&lt;&gt;D655,"La subregión no corresponde al municipio",IF(IF(L655="",FALSE,OR(L655&lt;0,L655&gt;110)),"Edad fuera de rango",IF((V655="Sí")+(W655="Sí")+(X655="Sí")+(Y655="Sí")=0,"Marque al menos un tipo de violencia","OK")))))))</f>
        <v/>
      </c>
    </row>
    <row r="656">
      <c r="A656" s="12">
        <f>IF(OR(F656="",F656="Revisar",C656=""),"",F656&amp;"-"&amp;C656&amp;"-"&amp;TEXT(COUNTIFS($F$2:F656,F656,$C$2:C656,C656),"0000"))</f>
        <v/>
      </c>
      <c r="B656" s="13" t="n"/>
      <c r="C656" s="12">
        <f>IF(ISNUMBER(B656),YEAR(B656),"")</f>
        <v/>
      </c>
      <c r="D656" s="14" t="n"/>
      <c r="E656" s="14" t="n"/>
      <c r="F656" s="12">
        <f>IF(E656="","",IFERROR(VLOOKUP(E656,LISTAS!$A$2:$C$65,2,FALSE),"Revisar"))</f>
        <v/>
      </c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2">
        <f>IF(COUNTA(B656:B656)+COUNTA(D656:E656)+COUNTA(G656:AJ656)=0,"",IF(COUNTBLANK(B656:B656)+COUNTBLANK(D656:E656)+COUNTBLANK(G656:G656)+COUNTBLANK(O656:AJ656)&gt;0,"Faltan "&amp;(COUNTBLANK(B656:B656)+COUNTBLANK(D656:E656)+COUNTBLANK(G656:G656)+COUNTBLANK(O656:AJ656))&amp;" datos obligatorios",IF(NOT(ISNUMBER(B656)),"Fecha no válida",IF(N(B656)&gt;TODAY(),"Fecha futura",IF(IFERROR(VLOOKUP(E656,LISTAS!$A$2:$C$65,3,FALSE),"")&lt;&gt;D656,"La subregión no corresponde al municipio",IF(IF(L656="",FALSE,OR(L656&lt;0,L656&gt;110)),"Edad fuera de rango",IF((V656="Sí")+(W656="Sí")+(X656="Sí")+(Y656="Sí")=0,"Marque al menos un tipo de violencia","OK")))))))</f>
        <v/>
      </c>
    </row>
    <row r="657">
      <c r="A657" s="12">
        <f>IF(OR(F657="",F657="Revisar",C657=""),"",F657&amp;"-"&amp;C657&amp;"-"&amp;TEXT(COUNTIFS($F$2:F657,F657,$C$2:C657,C657),"0000"))</f>
        <v/>
      </c>
      <c r="B657" s="13" t="n"/>
      <c r="C657" s="12">
        <f>IF(ISNUMBER(B657),YEAR(B657),"")</f>
        <v/>
      </c>
      <c r="D657" s="14" t="n"/>
      <c r="E657" s="14" t="n"/>
      <c r="F657" s="12">
        <f>IF(E657="","",IFERROR(VLOOKUP(E657,LISTAS!$A$2:$C$65,2,FALSE),"Revisar"))</f>
        <v/>
      </c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2">
        <f>IF(COUNTA(B657:B657)+COUNTA(D657:E657)+COUNTA(G657:AJ657)=0,"",IF(COUNTBLANK(B657:B657)+COUNTBLANK(D657:E657)+COUNTBLANK(G657:G657)+COUNTBLANK(O657:AJ657)&gt;0,"Faltan "&amp;(COUNTBLANK(B657:B657)+COUNTBLANK(D657:E657)+COUNTBLANK(G657:G657)+COUNTBLANK(O657:AJ657))&amp;" datos obligatorios",IF(NOT(ISNUMBER(B657)),"Fecha no válida",IF(N(B657)&gt;TODAY(),"Fecha futura",IF(IFERROR(VLOOKUP(E657,LISTAS!$A$2:$C$65,3,FALSE),"")&lt;&gt;D657,"La subregión no corresponde al municipio",IF(IF(L657="",FALSE,OR(L657&lt;0,L657&gt;110)),"Edad fuera de rango",IF((V657="Sí")+(W657="Sí")+(X657="Sí")+(Y657="Sí")=0,"Marque al menos un tipo de violencia","OK")))))))</f>
        <v/>
      </c>
    </row>
    <row r="658">
      <c r="A658" s="12">
        <f>IF(OR(F658="",F658="Revisar",C658=""),"",F658&amp;"-"&amp;C658&amp;"-"&amp;TEXT(COUNTIFS($F$2:F658,F658,$C$2:C658,C658),"0000"))</f>
        <v/>
      </c>
      <c r="B658" s="13" t="n"/>
      <c r="C658" s="12">
        <f>IF(ISNUMBER(B658),YEAR(B658),"")</f>
        <v/>
      </c>
      <c r="D658" s="14" t="n"/>
      <c r="E658" s="14" t="n"/>
      <c r="F658" s="12">
        <f>IF(E658="","",IFERROR(VLOOKUP(E658,LISTAS!$A$2:$C$65,2,FALSE),"Revisar"))</f>
        <v/>
      </c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2">
        <f>IF(COUNTA(B658:B658)+COUNTA(D658:E658)+COUNTA(G658:AJ658)=0,"",IF(COUNTBLANK(B658:B658)+COUNTBLANK(D658:E658)+COUNTBLANK(G658:G658)+COUNTBLANK(O658:AJ658)&gt;0,"Faltan "&amp;(COUNTBLANK(B658:B658)+COUNTBLANK(D658:E658)+COUNTBLANK(G658:G658)+COUNTBLANK(O658:AJ658))&amp;" datos obligatorios",IF(NOT(ISNUMBER(B658)),"Fecha no válida",IF(N(B658)&gt;TODAY(),"Fecha futura",IF(IFERROR(VLOOKUP(E658,LISTAS!$A$2:$C$65,3,FALSE),"")&lt;&gt;D658,"La subregión no corresponde al municipio",IF(IF(L658="",FALSE,OR(L658&lt;0,L658&gt;110)),"Edad fuera de rango",IF((V658="Sí")+(W658="Sí")+(X658="Sí")+(Y658="Sí")=0,"Marque al menos un tipo de violencia","OK")))))))</f>
        <v/>
      </c>
    </row>
    <row r="659">
      <c r="A659" s="12">
        <f>IF(OR(F659="",F659="Revisar",C659=""),"",F659&amp;"-"&amp;C659&amp;"-"&amp;TEXT(COUNTIFS($F$2:F659,F659,$C$2:C659,C659),"0000"))</f>
        <v/>
      </c>
      <c r="B659" s="13" t="n"/>
      <c r="C659" s="12">
        <f>IF(ISNUMBER(B659),YEAR(B659),"")</f>
        <v/>
      </c>
      <c r="D659" s="14" t="n"/>
      <c r="E659" s="14" t="n"/>
      <c r="F659" s="12">
        <f>IF(E659="","",IFERROR(VLOOKUP(E659,LISTAS!$A$2:$C$65,2,FALSE),"Revisar"))</f>
        <v/>
      </c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2">
        <f>IF(COUNTA(B659:B659)+COUNTA(D659:E659)+COUNTA(G659:AJ659)=0,"",IF(COUNTBLANK(B659:B659)+COUNTBLANK(D659:E659)+COUNTBLANK(G659:G659)+COUNTBLANK(O659:AJ659)&gt;0,"Faltan "&amp;(COUNTBLANK(B659:B659)+COUNTBLANK(D659:E659)+COUNTBLANK(G659:G659)+COUNTBLANK(O659:AJ659))&amp;" datos obligatorios",IF(NOT(ISNUMBER(B659)),"Fecha no válida",IF(N(B659)&gt;TODAY(),"Fecha futura",IF(IFERROR(VLOOKUP(E659,LISTAS!$A$2:$C$65,3,FALSE),"")&lt;&gt;D659,"La subregión no corresponde al municipio",IF(IF(L659="",FALSE,OR(L659&lt;0,L659&gt;110)),"Edad fuera de rango",IF((V659="Sí")+(W659="Sí")+(X659="Sí")+(Y659="Sí")=0,"Marque al menos un tipo de violencia","OK")))))))</f>
        <v/>
      </c>
    </row>
    <row r="660">
      <c r="A660" s="12">
        <f>IF(OR(F660="",F660="Revisar",C660=""),"",F660&amp;"-"&amp;C660&amp;"-"&amp;TEXT(COUNTIFS($F$2:F660,F660,$C$2:C660,C660),"0000"))</f>
        <v/>
      </c>
      <c r="B660" s="13" t="n"/>
      <c r="C660" s="12">
        <f>IF(ISNUMBER(B660),YEAR(B660),"")</f>
        <v/>
      </c>
      <c r="D660" s="14" t="n"/>
      <c r="E660" s="14" t="n"/>
      <c r="F660" s="12">
        <f>IF(E660="","",IFERROR(VLOOKUP(E660,LISTAS!$A$2:$C$65,2,FALSE),"Revisar"))</f>
        <v/>
      </c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2">
        <f>IF(COUNTA(B660:B660)+COUNTA(D660:E660)+COUNTA(G660:AJ660)=0,"",IF(COUNTBLANK(B660:B660)+COUNTBLANK(D660:E660)+COUNTBLANK(G660:G660)+COUNTBLANK(O660:AJ660)&gt;0,"Faltan "&amp;(COUNTBLANK(B660:B660)+COUNTBLANK(D660:E660)+COUNTBLANK(G660:G660)+COUNTBLANK(O660:AJ660))&amp;" datos obligatorios",IF(NOT(ISNUMBER(B660)),"Fecha no válida",IF(N(B660)&gt;TODAY(),"Fecha futura",IF(IFERROR(VLOOKUP(E660,LISTAS!$A$2:$C$65,3,FALSE),"")&lt;&gt;D660,"La subregión no corresponde al municipio",IF(IF(L660="",FALSE,OR(L660&lt;0,L660&gt;110)),"Edad fuera de rango",IF((V660="Sí")+(W660="Sí")+(X660="Sí")+(Y660="Sí")=0,"Marque al menos un tipo de violencia","OK")))))))</f>
        <v/>
      </c>
    </row>
    <row r="661">
      <c r="A661" s="12">
        <f>IF(OR(F661="",F661="Revisar",C661=""),"",F661&amp;"-"&amp;C661&amp;"-"&amp;TEXT(COUNTIFS($F$2:F661,F661,$C$2:C661,C661),"0000"))</f>
        <v/>
      </c>
      <c r="B661" s="13" t="n"/>
      <c r="C661" s="12">
        <f>IF(ISNUMBER(B661),YEAR(B661),"")</f>
        <v/>
      </c>
      <c r="D661" s="14" t="n"/>
      <c r="E661" s="14" t="n"/>
      <c r="F661" s="12">
        <f>IF(E661="","",IFERROR(VLOOKUP(E661,LISTAS!$A$2:$C$65,2,FALSE),"Revisar"))</f>
        <v/>
      </c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2">
        <f>IF(COUNTA(B661:B661)+COUNTA(D661:E661)+COUNTA(G661:AJ661)=0,"",IF(COUNTBLANK(B661:B661)+COUNTBLANK(D661:E661)+COUNTBLANK(G661:G661)+COUNTBLANK(O661:AJ661)&gt;0,"Faltan "&amp;(COUNTBLANK(B661:B661)+COUNTBLANK(D661:E661)+COUNTBLANK(G661:G661)+COUNTBLANK(O661:AJ661))&amp;" datos obligatorios",IF(NOT(ISNUMBER(B661)),"Fecha no válida",IF(N(B661)&gt;TODAY(),"Fecha futura",IF(IFERROR(VLOOKUP(E661,LISTAS!$A$2:$C$65,3,FALSE),"")&lt;&gt;D661,"La subregión no corresponde al municipio",IF(IF(L661="",FALSE,OR(L661&lt;0,L661&gt;110)),"Edad fuera de rango",IF((V661="Sí")+(W661="Sí")+(X661="Sí")+(Y661="Sí")=0,"Marque al menos un tipo de violencia","OK")))))))</f>
        <v/>
      </c>
    </row>
    <row r="662">
      <c r="A662" s="12">
        <f>IF(OR(F662="",F662="Revisar",C662=""),"",F662&amp;"-"&amp;C662&amp;"-"&amp;TEXT(COUNTIFS($F$2:F662,F662,$C$2:C662,C662),"0000"))</f>
        <v/>
      </c>
      <c r="B662" s="13" t="n"/>
      <c r="C662" s="12">
        <f>IF(ISNUMBER(B662),YEAR(B662),"")</f>
        <v/>
      </c>
      <c r="D662" s="14" t="n"/>
      <c r="E662" s="14" t="n"/>
      <c r="F662" s="12">
        <f>IF(E662="","",IFERROR(VLOOKUP(E662,LISTAS!$A$2:$C$65,2,FALSE),"Revisar"))</f>
        <v/>
      </c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2">
        <f>IF(COUNTA(B662:B662)+COUNTA(D662:E662)+COUNTA(G662:AJ662)=0,"",IF(COUNTBLANK(B662:B662)+COUNTBLANK(D662:E662)+COUNTBLANK(G662:G662)+COUNTBLANK(O662:AJ662)&gt;0,"Faltan "&amp;(COUNTBLANK(B662:B662)+COUNTBLANK(D662:E662)+COUNTBLANK(G662:G662)+COUNTBLANK(O662:AJ662))&amp;" datos obligatorios",IF(NOT(ISNUMBER(B662)),"Fecha no válida",IF(N(B662)&gt;TODAY(),"Fecha futura",IF(IFERROR(VLOOKUP(E662,LISTAS!$A$2:$C$65,3,FALSE),"")&lt;&gt;D662,"La subregión no corresponde al municipio",IF(IF(L662="",FALSE,OR(L662&lt;0,L662&gt;110)),"Edad fuera de rango",IF((V662="Sí")+(W662="Sí")+(X662="Sí")+(Y662="Sí")=0,"Marque al menos un tipo de violencia","OK")))))))</f>
        <v/>
      </c>
    </row>
    <row r="663">
      <c r="A663" s="12">
        <f>IF(OR(F663="",F663="Revisar",C663=""),"",F663&amp;"-"&amp;C663&amp;"-"&amp;TEXT(COUNTIFS($F$2:F663,F663,$C$2:C663,C663),"0000"))</f>
        <v/>
      </c>
      <c r="B663" s="13" t="n"/>
      <c r="C663" s="12">
        <f>IF(ISNUMBER(B663),YEAR(B663),"")</f>
        <v/>
      </c>
      <c r="D663" s="14" t="n"/>
      <c r="E663" s="14" t="n"/>
      <c r="F663" s="12">
        <f>IF(E663="","",IFERROR(VLOOKUP(E663,LISTAS!$A$2:$C$65,2,FALSE),"Revisar"))</f>
        <v/>
      </c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2">
        <f>IF(COUNTA(B663:B663)+COUNTA(D663:E663)+COUNTA(G663:AJ663)=0,"",IF(COUNTBLANK(B663:B663)+COUNTBLANK(D663:E663)+COUNTBLANK(G663:G663)+COUNTBLANK(O663:AJ663)&gt;0,"Faltan "&amp;(COUNTBLANK(B663:B663)+COUNTBLANK(D663:E663)+COUNTBLANK(G663:G663)+COUNTBLANK(O663:AJ663))&amp;" datos obligatorios",IF(NOT(ISNUMBER(B663)),"Fecha no válida",IF(N(B663)&gt;TODAY(),"Fecha futura",IF(IFERROR(VLOOKUP(E663,LISTAS!$A$2:$C$65,3,FALSE),"")&lt;&gt;D663,"La subregión no corresponde al municipio",IF(IF(L663="",FALSE,OR(L663&lt;0,L663&gt;110)),"Edad fuera de rango",IF((V663="Sí")+(W663="Sí")+(X663="Sí")+(Y663="Sí")=0,"Marque al menos un tipo de violencia","OK")))))))</f>
        <v/>
      </c>
    </row>
    <row r="664">
      <c r="A664" s="12">
        <f>IF(OR(F664="",F664="Revisar",C664=""),"",F664&amp;"-"&amp;C664&amp;"-"&amp;TEXT(COUNTIFS($F$2:F664,F664,$C$2:C664,C664),"0000"))</f>
        <v/>
      </c>
      <c r="B664" s="13" t="n"/>
      <c r="C664" s="12">
        <f>IF(ISNUMBER(B664),YEAR(B664),"")</f>
        <v/>
      </c>
      <c r="D664" s="14" t="n"/>
      <c r="E664" s="14" t="n"/>
      <c r="F664" s="12">
        <f>IF(E664="","",IFERROR(VLOOKUP(E664,LISTAS!$A$2:$C$65,2,FALSE),"Revisar"))</f>
        <v/>
      </c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2">
        <f>IF(COUNTA(B664:B664)+COUNTA(D664:E664)+COUNTA(G664:AJ664)=0,"",IF(COUNTBLANK(B664:B664)+COUNTBLANK(D664:E664)+COUNTBLANK(G664:G664)+COUNTBLANK(O664:AJ664)&gt;0,"Faltan "&amp;(COUNTBLANK(B664:B664)+COUNTBLANK(D664:E664)+COUNTBLANK(G664:G664)+COUNTBLANK(O664:AJ664))&amp;" datos obligatorios",IF(NOT(ISNUMBER(B664)),"Fecha no válida",IF(N(B664)&gt;TODAY(),"Fecha futura",IF(IFERROR(VLOOKUP(E664,LISTAS!$A$2:$C$65,3,FALSE),"")&lt;&gt;D664,"La subregión no corresponde al municipio",IF(IF(L664="",FALSE,OR(L664&lt;0,L664&gt;110)),"Edad fuera de rango",IF((V664="Sí")+(W664="Sí")+(X664="Sí")+(Y664="Sí")=0,"Marque al menos un tipo de violencia","OK")))))))</f>
        <v/>
      </c>
    </row>
    <row r="665">
      <c r="A665" s="12">
        <f>IF(OR(F665="",F665="Revisar",C665=""),"",F665&amp;"-"&amp;C665&amp;"-"&amp;TEXT(COUNTIFS($F$2:F665,F665,$C$2:C665,C665),"0000"))</f>
        <v/>
      </c>
      <c r="B665" s="13" t="n"/>
      <c r="C665" s="12">
        <f>IF(ISNUMBER(B665),YEAR(B665),"")</f>
        <v/>
      </c>
      <c r="D665" s="14" t="n"/>
      <c r="E665" s="14" t="n"/>
      <c r="F665" s="12">
        <f>IF(E665="","",IFERROR(VLOOKUP(E665,LISTAS!$A$2:$C$65,2,FALSE),"Revisar"))</f>
        <v/>
      </c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2">
        <f>IF(COUNTA(B665:B665)+COUNTA(D665:E665)+COUNTA(G665:AJ665)=0,"",IF(COUNTBLANK(B665:B665)+COUNTBLANK(D665:E665)+COUNTBLANK(G665:G665)+COUNTBLANK(O665:AJ665)&gt;0,"Faltan "&amp;(COUNTBLANK(B665:B665)+COUNTBLANK(D665:E665)+COUNTBLANK(G665:G665)+COUNTBLANK(O665:AJ665))&amp;" datos obligatorios",IF(NOT(ISNUMBER(B665)),"Fecha no válida",IF(N(B665)&gt;TODAY(),"Fecha futura",IF(IFERROR(VLOOKUP(E665,LISTAS!$A$2:$C$65,3,FALSE),"")&lt;&gt;D665,"La subregión no corresponde al municipio",IF(IF(L665="",FALSE,OR(L665&lt;0,L665&gt;110)),"Edad fuera de rango",IF((V665="Sí")+(W665="Sí")+(X665="Sí")+(Y665="Sí")=0,"Marque al menos un tipo de violencia","OK")))))))</f>
        <v/>
      </c>
    </row>
    <row r="666">
      <c r="A666" s="12">
        <f>IF(OR(F666="",F666="Revisar",C666=""),"",F666&amp;"-"&amp;C666&amp;"-"&amp;TEXT(COUNTIFS($F$2:F666,F666,$C$2:C666,C666),"0000"))</f>
        <v/>
      </c>
      <c r="B666" s="13" t="n"/>
      <c r="C666" s="12">
        <f>IF(ISNUMBER(B666),YEAR(B666),"")</f>
        <v/>
      </c>
      <c r="D666" s="14" t="n"/>
      <c r="E666" s="14" t="n"/>
      <c r="F666" s="12">
        <f>IF(E666="","",IFERROR(VLOOKUP(E666,LISTAS!$A$2:$C$65,2,FALSE),"Revisar"))</f>
        <v/>
      </c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2">
        <f>IF(COUNTA(B666:B666)+COUNTA(D666:E666)+COUNTA(G666:AJ666)=0,"",IF(COUNTBLANK(B666:B666)+COUNTBLANK(D666:E666)+COUNTBLANK(G666:G666)+COUNTBLANK(O666:AJ666)&gt;0,"Faltan "&amp;(COUNTBLANK(B666:B666)+COUNTBLANK(D666:E666)+COUNTBLANK(G666:G666)+COUNTBLANK(O666:AJ666))&amp;" datos obligatorios",IF(NOT(ISNUMBER(B666)),"Fecha no válida",IF(N(B666)&gt;TODAY(),"Fecha futura",IF(IFERROR(VLOOKUP(E666,LISTAS!$A$2:$C$65,3,FALSE),"")&lt;&gt;D666,"La subregión no corresponde al municipio",IF(IF(L666="",FALSE,OR(L666&lt;0,L666&gt;110)),"Edad fuera de rango",IF((V666="Sí")+(W666="Sí")+(X666="Sí")+(Y666="Sí")=0,"Marque al menos un tipo de violencia","OK")))))))</f>
        <v/>
      </c>
    </row>
    <row r="667">
      <c r="A667" s="12">
        <f>IF(OR(F667="",F667="Revisar",C667=""),"",F667&amp;"-"&amp;C667&amp;"-"&amp;TEXT(COUNTIFS($F$2:F667,F667,$C$2:C667,C667),"0000"))</f>
        <v/>
      </c>
      <c r="B667" s="13" t="n"/>
      <c r="C667" s="12">
        <f>IF(ISNUMBER(B667),YEAR(B667),"")</f>
        <v/>
      </c>
      <c r="D667" s="14" t="n"/>
      <c r="E667" s="14" t="n"/>
      <c r="F667" s="12">
        <f>IF(E667="","",IFERROR(VLOOKUP(E667,LISTAS!$A$2:$C$65,2,FALSE),"Revisar"))</f>
        <v/>
      </c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2">
        <f>IF(COUNTA(B667:B667)+COUNTA(D667:E667)+COUNTA(G667:AJ667)=0,"",IF(COUNTBLANK(B667:B667)+COUNTBLANK(D667:E667)+COUNTBLANK(G667:G667)+COUNTBLANK(O667:AJ667)&gt;0,"Faltan "&amp;(COUNTBLANK(B667:B667)+COUNTBLANK(D667:E667)+COUNTBLANK(G667:G667)+COUNTBLANK(O667:AJ667))&amp;" datos obligatorios",IF(NOT(ISNUMBER(B667)),"Fecha no válida",IF(N(B667)&gt;TODAY(),"Fecha futura",IF(IFERROR(VLOOKUP(E667,LISTAS!$A$2:$C$65,3,FALSE),"")&lt;&gt;D667,"La subregión no corresponde al municipio",IF(IF(L667="",FALSE,OR(L667&lt;0,L667&gt;110)),"Edad fuera de rango",IF((V667="Sí")+(W667="Sí")+(X667="Sí")+(Y667="Sí")=0,"Marque al menos un tipo de violencia","OK")))))))</f>
        <v/>
      </c>
    </row>
    <row r="668">
      <c r="A668" s="12">
        <f>IF(OR(F668="",F668="Revisar",C668=""),"",F668&amp;"-"&amp;C668&amp;"-"&amp;TEXT(COUNTIFS($F$2:F668,F668,$C$2:C668,C668),"0000"))</f>
        <v/>
      </c>
      <c r="B668" s="13" t="n"/>
      <c r="C668" s="12">
        <f>IF(ISNUMBER(B668),YEAR(B668),"")</f>
        <v/>
      </c>
      <c r="D668" s="14" t="n"/>
      <c r="E668" s="14" t="n"/>
      <c r="F668" s="12">
        <f>IF(E668="","",IFERROR(VLOOKUP(E668,LISTAS!$A$2:$C$65,2,FALSE),"Revisar"))</f>
        <v/>
      </c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2">
        <f>IF(COUNTA(B668:B668)+COUNTA(D668:E668)+COUNTA(G668:AJ668)=0,"",IF(COUNTBLANK(B668:B668)+COUNTBLANK(D668:E668)+COUNTBLANK(G668:G668)+COUNTBLANK(O668:AJ668)&gt;0,"Faltan "&amp;(COUNTBLANK(B668:B668)+COUNTBLANK(D668:E668)+COUNTBLANK(G668:G668)+COUNTBLANK(O668:AJ668))&amp;" datos obligatorios",IF(NOT(ISNUMBER(B668)),"Fecha no válida",IF(N(B668)&gt;TODAY(),"Fecha futura",IF(IFERROR(VLOOKUP(E668,LISTAS!$A$2:$C$65,3,FALSE),"")&lt;&gt;D668,"La subregión no corresponde al municipio",IF(IF(L668="",FALSE,OR(L668&lt;0,L668&gt;110)),"Edad fuera de rango",IF((V668="Sí")+(W668="Sí")+(X668="Sí")+(Y668="Sí")=0,"Marque al menos un tipo de violencia","OK")))))))</f>
        <v/>
      </c>
    </row>
    <row r="669">
      <c r="A669" s="12">
        <f>IF(OR(F669="",F669="Revisar",C669=""),"",F669&amp;"-"&amp;C669&amp;"-"&amp;TEXT(COUNTIFS($F$2:F669,F669,$C$2:C669,C669),"0000"))</f>
        <v/>
      </c>
      <c r="B669" s="13" t="n"/>
      <c r="C669" s="12">
        <f>IF(ISNUMBER(B669),YEAR(B669),"")</f>
        <v/>
      </c>
      <c r="D669" s="14" t="n"/>
      <c r="E669" s="14" t="n"/>
      <c r="F669" s="12">
        <f>IF(E669="","",IFERROR(VLOOKUP(E669,LISTAS!$A$2:$C$65,2,FALSE),"Revisar"))</f>
        <v/>
      </c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2">
        <f>IF(COUNTA(B669:B669)+COUNTA(D669:E669)+COUNTA(G669:AJ669)=0,"",IF(COUNTBLANK(B669:B669)+COUNTBLANK(D669:E669)+COUNTBLANK(G669:G669)+COUNTBLANK(O669:AJ669)&gt;0,"Faltan "&amp;(COUNTBLANK(B669:B669)+COUNTBLANK(D669:E669)+COUNTBLANK(G669:G669)+COUNTBLANK(O669:AJ669))&amp;" datos obligatorios",IF(NOT(ISNUMBER(B669)),"Fecha no válida",IF(N(B669)&gt;TODAY(),"Fecha futura",IF(IFERROR(VLOOKUP(E669,LISTAS!$A$2:$C$65,3,FALSE),"")&lt;&gt;D669,"La subregión no corresponde al municipio",IF(IF(L669="",FALSE,OR(L669&lt;0,L669&gt;110)),"Edad fuera de rango",IF((V669="Sí")+(W669="Sí")+(X669="Sí")+(Y669="Sí")=0,"Marque al menos un tipo de violencia","OK")))))))</f>
        <v/>
      </c>
    </row>
    <row r="670">
      <c r="A670" s="12">
        <f>IF(OR(F670="",F670="Revisar",C670=""),"",F670&amp;"-"&amp;C670&amp;"-"&amp;TEXT(COUNTIFS($F$2:F670,F670,$C$2:C670,C670),"0000"))</f>
        <v/>
      </c>
      <c r="B670" s="13" t="n"/>
      <c r="C670" s="12">
        <f>IF(ISNUMBER(B670),YEAR(B670),"")</f>
        <v/>
      </c>
      <c r="D670" s="14" t="n"/>
      <c r="E670" s="14" t="n"/>
      <c r="F670" s="12">
        <f>IF(E670="","",IFERROR(VLOOKUP(E670,LISTAS!$A$2:$C$65,2,FALSE),"Revisar"))</f>
        <v/>
      </c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2">
        <f>IF(COUNTA(B670:B670)+COUNTA(D670:E670)+COUNTA(G670:AJ670)=0,"",IF(COUNTBLANK(B670:B670)+COUNTBLANK(D670:E670)+COUNTBLANK(G670:G670)+COUNTBLANK(O670:AJ670)&gt;0,"Faltan "&amp;(COUNTBLANK(B670:B670)+COUNTBLANK(D670:E670)+COUNTBLANK(G670:G670)+COUNTBLANK(O670:AJ670))&amp;" datos obligatorios",IF(NOT(ISNUMBER(B670)),"Fecha no válida",IF(N(B670)&gt;TODAY(),"Fecha futura",IF(IFERROR(VLOOKUP(E670,LISTAS!$A$2:$C$65,3,FALSE),"")&lt;&gt;D670,"La subregión no corresponde al municipio",IF(IF(L670="",FALSE,OR(L670&lt;0,L670&gt;110)),"Edad fuera de rango",IF((V670="Sí")+(W670="Sí")+(X670="Sí")+(Y670="Sí")=0,"Marque al menos un tipo de violencia","OK")))))))</f>
        <v/>
      </c>
    </row>
    <row r="671">
      <c r="A671" s="12">
        <f>IF(OR(F671="",F671="Revisar",C671=""),"",F671&amp;"-"&amp;C671&amp;"-"&amp;TEXT(COUNTIFS($F$2:F671,F671,$C$2:C671,C671),"0000"))</f>
        <v/>
      </c>
      <c r="B671" s="13" t="n"/>
      <c r="C671" s="12">
        <f>IF(ISNUMBER(B671),YEAR(B671),"")</f>
        <v/>
      </c>
      <c r="D671" s="14" t="n"/>
      <c r="E671" s="14" t="n"/>
      <c r="F671" s="12">
        <f>IF(E671="","",IFERROR(VLOOKUP(E671,LISTAS!$A$2:$C$65,2,FALSE),"Revisar"))</f>
        <v/>
      </c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2">
        <f>IF(COUNTA(B671:B671)+COUNTA(D671:E671)+COUNTA(G671:AJ671)=0,"",IF(COUNTBLANK(B671:B671)+COUNTBLANK(D671:E671)+COUNTBLANK(G671:G671)+COUNTBLANK(O671:AJ671)&gt;0,"Faltan "&amp;(COUNTBLANK(B671:B671)+COUNTBLANK(D671:E671)+COUNTBLANK(G671:G671)+COUNTBLANK(O671:AJ671))&amp;" datos obligatorios",IF(NOT(ISNUMBER(B671)),"Fecha no válida",IF(N(B671)&gt;TODAY(),"Fecha futura",IF(IFERROR(VLOOKUP(E671,LISTAS!$A$2:$C$65,3,FALSE),"")&lt;&gt;D671,"La subregión no corresponde al municipio",IF(IF(L671="",FALSE,OR(L671&lt;0,L671&gt;110)),"Edad fuera de rango",IF((V671="Sí")+(W671="Sí")+(X671="Sí")+(Y671="Sí")=0,"Marque al menos un tipo de violencia","OK")))))))</f>
        <v/>
      </c>
    </row>
    <row r="672">
      <c r="A672" s="12">
        <f>IF(OR(F672="",F672="Revisar",C672=""),"",F672&amp;"-"&amp;C672&amp;"-"&amp;TEXT(COUNTIFS($F$2:F672,F672,$C$2:C672,C672),"0000"))</f>
        <v/>
      </c>
      <c r="B672" s="13" t="n"/>
      <c r="C672" s="12">
        <f>IF(ISNUMBER(B672),YEAR(B672),"")</f>
        <v/>
      </c>
      <c r="D672" s="14" t="n"/>
      <c r="E672" s="14" t="n"/>
      <c r="F672" s="12">
        <f>IF(E672="","",IFERROR(VLOOKUP(E672,LISTAS!$A$2:$C$65,2,FALSE),"Revisar"))</f>
        <v/>
      </c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2">
        <f>IF(COUNTA(B672:B672)+COUNTA(D672:E672)+COUNTA(G672:AJ672)=0,"",IF(COUNTBLANK(B672:B672)+COUNTBLANK(D672:E672)+COUNTBLANK(G672:G672)+COUNTBLANK(O672:AJ672)&gt;0,"Faltan "&amp;(COUNTBLANK(B672:B672)+COUNTBLANK(D672:E672)+COUNTBLANK(G672:G672)+COUNTBLANK(O672:AJ672))&amp;" datos obligatorios",IF(NOT(ISNUMBER(B672)),"Fecha no válida",IF(N(B672)&gt;TODAY(),"Fecha futura",IF(IFERROR(VLOOKUP(E672,LISTAS!$A$2:$C$65,3,FALSE),"")&lt;&gt;D672,"La subregión no corresponde al municipio",IF(IF(L672="",FALSE,OR(L672&lt;0,L672&gt;110)),"Edad fuera de rango",IF((V672="Sí")+(W672="Sí")+(X672="Sí")+(Y672="Sí")=0,"Marque al menos un tipo de violencia","OK")))))))</f>
        <v/>
      </c>
    </row>
    <row r="673">
      <c r="A673" s="12">
        <f>IF(OR(F673="",F673="Revisar",C673=""),"",F673&amp;"-"&amp;C673&amp;"-"&amp;TEXT(COUNTIFS($F$2:F673,F673,$C$2:C673,C673),"0000"))</f>
        <v/>
      </c>
      <c r="B673" s="13" t="n"/>
      <c r="C673" s="12">
        <f>IF(ISNUMBER(B673),YEAR(B673),"")</f>
        <v/>
      </c>
      <c r="D673" s="14" t="n"/>
      <c r="E673" s="14" t="n"/>
      <c r="F673" s="12">
        <f>IF(E673="","",IFERROR(VLOOKUP(E673,LISTAS!$A$2:$C$65,2,FALSE),"Revisar"))</f>
        <v/>
      </c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2">
        <f>IF(COUNTA(B673:B673)+COUNTA(D673:E673)+COUNTA(G673:AJ673)=0,"",IF(COUNTBLANK(B673:B673)+COUNTBLANK(D673:E673)+COUNTBLANK(G673:G673)+COUNTBLANK(O673:AJ673)&gt;0,"Faltan "&amp;(COUNTBLANK(B673:B673)+COUNTBLANK(D673:E673)+COUNTBLANK(G673:G673)+COUNTBLANK(O673:AJ673))&amp;" datos obligatorios",IF(NOT(ISNUMBER(B673)),"Fecha no válida",IF(N(B673)&gt;TODAY(),"Fecha futura",IF(IFERROR(VLOOKUP(E673,LISTAS!$A$2:$C$65,3,FALSE),"")&lt;&gt;D673,"La subregión no corresponde al municipio",IF(IF(L673="",FALSE,OR(L673&lt;0,L673&gt;110)),"Edad fuera de rango",IF((V673="Sí")+(W673="Sí")+(X673="Sí")+(Y673="Sí")=0,"Marque al menos un tipo de violencia","OK")))))))</f>
        <v/>
      </c>
    </row>
    <row r="674">
      <c r="A674" s="12">
        <f>IF(OR(F674="",F674="Revisar",C674=""),"",F674&amp;"-"&amp;C674&amp;"-"&amp;TEXT(COUNTIFS($F$2:F674,F674,$C$2:C674,C674),"0000"))</f>
        <v/>
      </c>
      <c r="B674" s="13" t="n"/>
      <c r="C674" s="12">
        <f>IF(ISNUMBER(B674),YEAR(B674),"")</f>
        <v/>
      </c>
      <c r="D674" s="14" t="n"/>
      <c r="E674" s="14" t="n"/>
      <c r="F674" s="12">
        <f>IF(E674="","",IFERROR(VLOOKUP(E674,LISTAS!$A$2:$C$65,2,FALSE),"Revisar"))</f>
        <v/>
      </c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2">
        <f>IF(COUNTA(B674:B674)+COUNTA(D674:E674)+COUNTA(G674:AJ674)=0,"",IF(COUNTBLANK(B674:B674)+COUNTBLANK(D674:E674)+COUNTBLANK(G674:G674)+COUNTBLANK(O674:AJ674)&gt;0,"Faltan "&amp;(COUNTBLANK(B674:B674)+COUNTBLANK(D674:E674)+COUNTBLANK(G674:G674)+COUNTBLANK(O674:AJ674))&amp;" datos obligatorios",IF(NOT(ISNUMBER(B674)),"Fecha no válida",IF(N(B674)&gt;TODAY(),"Fecha futura",IF(IFERROR(VLOOKUP(E674,LISTAS!$A$2:$C$65,3,FALSE),"")&lt;&gt;D674,"La subregión no corresponde al municipio",IF(IF(L674="",FALSE,OR(L674&lt;0,L674&gt;110)),"Edad fuera de rango",IF((V674="Sí")+(W674="Sí")+(X674="Sí")+(Y674="Sí")=0,"Marque al menos un tipo de violencia","OK")))))))</f>
        <v/>
      </c>
    </row>
    <row r="675">
      <c r="A675" s="12">
        <f>IF(OR(F675="",F675="Revisar",C675=""),"",F675&amp;"-"&amp;C675&amp;"-"&amp;TEXT(COUNTIFS($F$2:F675,F675,$C$2:C675,C675),"0000"))</f>
        <v/>
      </c>
      <c r="B675" s="13" t="n"/>
      <c r="C675" s="12">
        <f>IF(ISNUMBER(B675),YEAR(B675),"")</f>
        <v/>
      </c>
      <c r="D675" s="14" t="n"/>
      <c r="E675" s="14" t="n"/>
      <c r="F675" s="12">
        <f>IF(E675="","",IFERROR(VLOOKUP(E675,LISTAS!$A$2:$C$65,2,FALSE),"Revisar"))</f>
        <v/>
      </c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2">
        <f>IF(COUNTA(B675:B675)+COUNTA(D675:E675)+COUNTA(G675:AJ675)=0,"",IF(COUNTBLANK(B675:B675)+COUNTBLANK(D675:E675)+COUNTBLANK(G675:G675)+COUNTBLANK(O675:AJ675)&gt;0,"Faltan "&amp;(COUNTBLANK(B675:B675)+COUNTBLANK(D675:E675)+COUNTBLANK(G675:G675)+COUNTBLANK(O675:AJ675))&amp;" datos obligatorios",IF(NOT(ISNUMBER(B675)),"Fecha no válida",IF(N(B675)&gt;TODAY(),"Fecha futura",IF(IFERROR(VLOOKUP(E675,LISTAS!$A$2:$C$65,3,FALSE),"")&lt;&gt;D675,"La subregión no corresponde al municipio",IF(IF(L675="",FALSE,OR(L675&lt;0,L675&gt;110)),"Edad fuera de rango",IF((V675="Sí")+(W675="Sí")+(X675="Sí")+(Y675="Sí")=0,"Marque al menos un tipo de violencia","OK")))))))</f>
        <v/>
      </c>
    </row>
    <row r="676">
      <c r="A676" s="12">
        <f>IF(OR(F676="",F676="Revisar",C676=""),"",F676&amp;"-"&amp;C676&amp;"-"&amp;TEXT(COUNTIFS($F$2:F676,F676,$C$2:C676,C676),"0000"))</f>
        <v/>
      </c>
      <c r="B676" s="13" t="n"/>
      <c r="C676" s="12">
        <f>IF(ISNUMBER(B676),YEAR(B676),"")</f>
        <v/>
      </c>
      <c r="D676" s="14" t="n"/>
      <c r="E676" s="14" t="n"/>
      <c r="F676" s="12">
        <f>IF(E676="","",IFERROR(VLOOKUP(E676,LISTAS!$A$2:$C$65,2,FALSE),"Revisar"))</f>
        <v/>
      </c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2">
        <f>IF(COUNTA(B676:B676)+COUNTA(D676:E676)+COUNTA(G676:AJ676)=0,"",IF(COUNTBLANK(B676:B676)+COUNTBLANK(D676:E676)+COUNTBLANK(G676:G676)+COUNTBLANK(O676:AJ676)&gt;0,"Faltan "&amp;(COUNTBLANK(B676:B676)+COUNTBLANK(D676:E676)+COUNTBLANK(G676:G676)+COUNTBLANK(O676:AJ676))&amp;" datos obligatorios",IF(NOT(ISNUMBER(B676)),"Fecha no válida",IF(N(B676)&gt;TODAY(),"Fecha futura",IF(IFERROR(VLOOKUP(E676,LISTAS!$A$2:$C$65,3,FALSE),"")&lt;&gt;D676,"La subregión no corresponde al municipio",IF(IF(L676="",FALSE,OR(L676&lt;0,L676&gt;110)),"Edad fuera de rango",IF((V676="Sí")+(W676="Sí")+(X676="Sí")+(Y676="Sí")=0,"Marque al menos un tipo de violencia","OK")))))))</f>
        <v/>
      </c>
    </row>
    <row r="677">
      <c r="A677" s="12">
        <f>IF(OR(F677="",F677="Revisar",C677=""),"",F677&amp;"-"&amp;C677&amp;"-"&amp;TEXT(COUNTIFS($F$2:F677,F677,$C$2:C677,C677),"0000"))</f>
        <v/>
      </c>
      <c r="B677" s="13" t="n"/>
      <c r="C677" s="12">
        <f>IF(ISNUMBER(B677),YEAR(B677),"")</f>
        <v/>
      </c>
      <c r="D677" s="14" t="n"/>
      <c r="E677" s="14" t="n"/>
      <c r="F677" s="12">
        <f>IF(E677="","",IFERROR(VLOOKUP(E677,LISTAS!$A$2:$C$65,2,FALSE),"Revisar"))</f>
        <v/>
      </c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2">
        <f>IF(COUNTA(B677:B677)+COUNTA(D677:E677)+COUNTA(G677:AJ677)=0,"",IF(COUNTBLANK(B677:B677)+COUNTBLANK(D677:E677)+COUNTBLANK(G677:G677)+COUNTBLANK(O677:AJ677)&gt;0,"Faltan "&amp;(COUNTBLANK(B677:B677)+COUNTBLANK(D677:E677)+COUNTBLANK(G677:G677)+COUNTBLANK(O677:AJ677))&amp;" datos obligatorios",IF(NOT(ISNUMBER(B677)),"Fecha no válida",IF(N(B677)&gt;TODAY(),"Fecha futura",IF(IFERROR(VLOOKUP(E677,LISTAS!$A$2:$C$65,3,FALSE),"")&lt;&gt;D677,"La subregión no corresponde al municipio",IF(IF(L677="",FALSE,OR(L677&lt;0,L677&gt;110)),"Edad fuera de rango",IF((V677="Sí")+(W677="Sí")+(X677="Sí")+(Y677="Sí")=0,"Marque al menos un tipo de violencia","OK")))))))</f>
        <v/>
      </c>
    </row>
    <row r="678">
      <c r="A678" s="12">
        <f>IF(OR(F678="",F678="Revisar",C678=""),"",F678&amp;"-"&amp;C678&amp;"-"&amp;TEXT(COUNTIFS($F$2:F678,F678,$C$2:C678,C678),"0000"))</f>
        <v/>
      </c>
      <c r="B678" s="13" t="n"/>
      <c r="C678" s="12">
        <f>IF(ISNUMBER(B678),YEAR(B678),"")</f>
        <v/>
      </c>
      <c r="D678" s="14" t="n"/>
      <c r="E678" s="14" t="n"/>
      <c r="F678" s="12">
        <f>IF(E678="","",IFERROR(VLOOKUP(E678,LISTAS!$A$2:$C$65,2,FALSE),"Revisar"))</f>
        <v/>
      </c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2">
        <f>IF(COUNTA(B678:B678)+COUNTA(D678:E678)+COUNTA(G678:AJ678)=0,"",IF(COUNTBLANK(B678:B678)+COUNTBLANK(D678:E678)+COUNTBLANK(G678:G678)+COUNTBLANK(O678:AJ678)&gt;0,"Faltan "&amp;(COUNTBLANK(B678:B678)+COUNTBLANK(D678:E678)+COUNTBLANK(G678:G678)+COUNTBLANK(O678:AJ678))&amp;" datos obligatorios",IF(NOT(ISNUMBER(B678)),"Fecha no válida",IF(N(B678)&gt;TODAY(),"Fecha futura",IF(IFERROR(VLOOKUP(E678,LISTAS!$A$2:$C$65,3,FALSE),"")&lt;&gt;D678,"La subregión no corresponde al municipio",IF(IF(L678="",FALSE,OR(L678&lt;0,L678&gt;110)),"Edad fuera de rango",IF((V678="Sí")+(W678="Sí")+(X678="Sí")+(Y678="Sí")=0,"Marque al menos un tipo de violencia","OK")))))))</f>
        <v/>
      </c>
    </row>
    <row r="679">
      <c r="A679" s="12">
        <f>IF(OR(F679="",F679="Revisar",C679=""),"",F679&amp;"-"&amp;C679&amp;"-"&amp;TEXT(COUNTIFS($F$2:F679,F679,$C$2:C679,C679),"0000"))</f>
        <v/>
      </c>
      <c r="B679" s="13" t="n"/>
      <c r="C679" s="12">
        <f>IF(ISNUMBER(B679),YEAR(B679),"")</f>
        <v/>
      </c>
      <c r="D679" s="14" t="n"/>
      <c r="E679" s="14" t="n"/>
      <c r="F679" s="12">
        <f>IF(E679="","",IFERROR(VLOOKUP(E679,LISTAS!$A$2:$C$65,2,FALSE),"Revisar"))</f>
        <v/>
      </c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2">
        <f>IF(COUNTA(B679:B679)+COUNTA(D679:E679)+COUNTA(G679:AJ679)=0,"",IF(COUNTBLANK(B679:B679)+COUNTBLANK(D679:E679)+COUNTBLANK(G679:G679)+COUNTBLANK(O679:AJ679)&gt;0,"Faltan "&amp;(COUNTBLANK(B679:B679)+COUNTBLANK(D679:E679)+COUNTBLANK(G679:G679)+COUNTBLANK(O679:AJ679))&amp;" datos obligatorios",IF(NOT(ISNUMBER(B679)),"Fecha no válida",IF(N(B679)&gt;TODAY(),"Fecha futura",IF(IFERROR(VLOOKUP(E679,LISTAS!$A$2:$C$65,3,FALSE),"")&lt;&gt;D679,"La subregión no corresponde al municipio",IF(IF(L679="",FALSE,OR(L679&lt;0,L679&gt;110)),"Edad fuera de rango",IF((V679="Sí")+(W679="Sí")+(X679="Sí")+(Y679="Sí")=0,"Marque al menos un tipo de violencia","OK")))))))</f>
        <v/>
      </c>
    </row>
    <row r="680">
      <c r="A680" s="12">
        <f>IF(OR(F680="",F680="Revisar",C680=""),"",F680&amp;"-"&amp;C680&amp;"-"&amp;TEXT(COUNTIFS($F$2:F680,F680,$C$2:C680,C680),"0000"))</f>
        <v/>
      </c>
      <c r="B680" s="13" t="n"/>
      <c r="C680" s="12">
        <f>IF(ISNUMBER(B680),YEAR(B680),"")</f>
        <v/>
      </c>
      <c r="D680" s="14" t="n"/>
      <c r="E680" s="14" t="n"/>
      <c r="F680" s="12">
        <f>IF(E680="","",IFERROR(VLOOKUP(E680,LISTAS!$A$2:$C$65,2,FALSE),"Revisar"))</f>
        <v/>
      </c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2">
        <f>IF(COUNTA(B680:B680)+COUNTA(D680:E680)+COUNTA(G680:AJ680)=0,"",IF(COUNTBLANK(B680:B680)+COUNTBLANK(D680:E680)+COUNTBLANK(G680:G680)+COUNTBLANK(O680:AJ680)&gt;0,"Faltan "&amp;(COUNTBLANK(B680:B680)+COUNTBLANK(D680:E680)+COUNTBLANK(G680:G680)+COUNTBLANK(O680:AJ680))&amp;" datos obligatorios",IF(NOT(ISNUMBER(B680)),"Fecha no válida",IF(N(B680)&gt;TODAY(),"Fecha futura",IF(IFERROR(VLOOKUP(E680,LISTAS!$A$2:$C$65,3,FALSE),"")&lt;&gt;D680,"La subregión no corresponde al municipio",IF(IF(L680="",FALSE,OR(L680&lt;0,L680&gt;110)),"Edad fuera de rango",IF((V680="Sí")+(W680="Sí")+(X680="Sí")+(Y680="Sí")=0,"Marque al menos un tipo de violencia","OK")))))))</f>
        <v/>
      </c>
    </row>
    <row r="681">
      <c r="A681" s="12">
        <f>IF(OR(F681="",F681="Revisar",C681=""),"",F681&amp;"-"&amp;C681&amp;"-"&amp;TEXT(COUNTIFS($F$2:F681,F681,$C$2:C681,C681),"0000"))</f>
        <v/>
      </c>
      <c r="B681" s="13" t="n"/>
      <c r="C681" s="12">
        <f>IF(ISNUMBER(B681),YEAR(B681),"")</f>
        <v/>
      </c>
      <c r="D681" s="14" t="n"/>
      <c r="E681" s="14" t="n"/>
      <c r="F681" s="12">
        <f>IF(E681="","",IFERROR(VLOOKUP(E681,LISTAS!$A$2:$C$65,2,FALSE),"Revisar"))</f>
        <v/>
      </c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2">
        <f>IF(COUNTA(B681:B681)+COUNTA(D681:E681)+COUNTA(G681:AJ681)=0,"",IF(COUNTBLANK(B681:B681)+COUNTBLANK(D681:E681)+COUNTBLANK(G681:G681)+COUNTBLANK(O681:AJ681)&gt;0,"Faltan "&amp;(COUNTBLANK(B681:B681)+COUNTBLANK(D681:E681)+COUNTBLANK(G681:G681)+COUNTBLANK(O681:AJ681))&amp;" datos obligatorios",IF(NOT(ISNUMBER(B681)),"Fecha no válida",IF(N(B681)&gt;TODAY(),"Fecha futura",IF(IFERROR(VLOOKUP(E681,LISTAS!$A$2:$C$65,3,FALSE),"")&lt;&gt;D681,"La subregión no corresponde al municipio",IF(IF(L681="",FALSE,OR(L681&lt;0,L681&gt;110)),"Edad fuera de rango",IF((V681="Sí")+(W681="Sí")+(X681="Sí")+(Y681="Sí")=0,"Marque al menos un tipo de violencia","OK")))))))</f>
        <v/>
      </c>
    </row>
    <row r="682">
      <c r="A682" s="12">
        <f>IF(OR(F682="",F682="Revisar",C682=""),"",F682&amp;"-"&amp;C682&amp;"-"&amp;TEXT(COUNTIFS($F$2:F682,F682,$C$2:C682,C682),"0000"))</f>
        <v/>
      </c>
      <c r="B682" s="13" t="n"/>
      <c r="C682" s="12">
        <f>IF(ISNUMBER(B682),YEAR(B682),"")</f>
        <v/>
      </c>
      <c r="D682" s="14" t="n"/>
      <c r="E682" s="14" t="n"/>
      <c r="F682" s="12">
        <f>IF(E682="","",IFERROR(VLOOKUP(E682,LISTAS!$A$2:$C$65,2,FALSE),"Revisar"))</f>
        <v/>
      </c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2">
        <f>IF(COUNTA(B682:B682)+COUNTA(D682:E682)+COUNTA(G682:AJ682)=0,"",IF(COUNTBLANK(B682:B682)+COUNTBLANK(D682:E682)+COUNTBLANK(G682:G682)+COUNTBLANK(O682:AJ682)&gt;0,"Faltan "&amp;(COUNTBLANK(B682:B682)+COUNTBLANK(D682:E682)+COUNTBLANK(G682:G682)+COUNTBLANK(O682:AJ682))&amp;" datos obligatorios",IF(NOT(ISNUMBER(B682)),"Fecha no válida",IF(N(B682)&gt;TODAY(),"Fecha futura",IF(IFERROR(VLOOKUP(E682,LISTAS!$A$2:$C$65,3,FALSE),"")&lt;&gt;D682,"La subregión no corresponde al municipio",IF(IF(L682="",FALSE,OR(L682&lt;0,L682&gt;110)),"Edad fuera de rango",IF((V682="Sí")+(W682="Sí")+(X682="Sí")+(Y682="Sí")=0,"Marque al menos un tipo de violencia","OK")))))))</f>
        <v/>
      </c>
    </row>
    <row r="683">
      <c r="A683" s="12">
        <f>IF(OR(F683="",F683="Revisar",C683=""),"",F683&amp;"-"&amp;C683&amp;"-"&amp;TEXT(COUNTIFS($F$2:F683,F683,$C$2:C683,C683),"0000"))</f>
        <v/>
      </c>
      <c r="B683" s="13" t="n"/>
      <c r="C683" s="12">
        <f>IF(ISNUMBER(B683),YEAR(B683),"")</f>
        <v/>
      </c>
      <c r="D683" s="14" t="n"/>
      <c r="E683" s="14" t="n"/>
      <c r="F683" s="12">
        <f>IF(E683="","",IFERROR(VLOOKUP(E683,LISTAS!$A$2:$C$65,2,FALSE),"Revisar"))</f>
        <v/>
      </c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2">
        <f>IF(COUNTA(B683:B683)+COUNTA(D683:E683)+COUNTA(G683:AJ683)=0,"",IF(COUNTBLANK(B683:B683)+COUNTBLANK(D683:E683)+COUNTBLANK(G683:G683)+COUNTBLANK(O683:AJ683)&gt;0,"Faltan "&amp;(COUNTBLANK(B683:B683)+COUNTBLANK(D683:E683)+COUNTBLANK(G683:G683)+COUNTBLANK(O683:AJ683))&amp;" datos obligatorios",IF(NOT(ISNUMBER(B683)),"Fecha no válida",IF(N(B683)&gt;TODAY(),"Fecha futura",IF(IFERROR(VLOOKUP(E683,LISTAS!$A$2:$C$65,3,FALSE),"")&lt;&gt;D683,"La subregión no corresponde al municipio",IF(IF(L683="",FALSE,OR(L683&lt;0,L683&gt;110)),"Edad fuera de rango",IF((V683="Sí")+(W683="Sí")+(X683="Sí")+(Y683="Sí")=0,"Marque al menos un tipo de violencia","OK")))))))</f>
        <v/>
      </c>
    </row>
    <row r="684">
      <c r="A684" s="12">
        <f>IF(OR(F684="",F684="Revisar",C684=""),"",F684&amp;"-"&amp;C684&amp;"-"&amp;TEXT(COUNTIFS($F$2:F684,F684,$C$2:C684,C684),"0000"))</f>
        <v/>
      </c>
      <c r="B684" s="13" t="n"/>
      <c r="C684" s="12">
        <f>IF(ISNUMBER(B684),YEAR(B684),"")</f>
        <v/>
      </c>
      <c r="D684" s="14" t="n"/>
      <c r="E684" s="14" t="n"/>
      <c r="F684" s="12">
        <f>IF(E684="","",IFERROR(VLOOKUP(E684,LISTAS!$A$2:$C$65,2,FALSE),"Revisar"))</f>
        <v/>
      </c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2">
        <f>IF(COUNTA(B684:B684)+COUNTA(D684:E684)+COUNTA(G684:AJ684)=0,"",IF(COUNTBLANK(B684:B684)+COUNTBLANK(D684:E684)+COUNTBLANK(G684:G684)+COUNTBLANK(O684:AJ684)&gt;0,"Faltan "&amp;(COUNTBLANK(B684:B684)+COUNTBLANK(D684:E684)+COUNTBLANK(G684:G684)+COUNTBLANK(O684:AJ684))&amp;" datos obligatorios",IF(NOT(ISNUMBER(B684)),"Fecha no válida",IF(N(B684)&gt;TODAY(),"Fecha futura",IF(IFERROR(VLOOKUP(E684,LISTAS!$A$2:$C$65,3,FALSE),"")&lt;&gt;D684,"La subregión no corresponde al municipio",IF(IF(L684="",FALSE,OR(L684&lt;0,L684&gt;110)),"Edad fuera de rango",IF((V684="Sí")+(W684="Sí")+(X684="Sí")+(Y684="Sí")=0,"Marque al menos un tipo de violencia","OK")))))))</f>
        <v/>
      </c>
    </row>
    <row r="685">
      <c r="A685" s="12">
        <f>IF(OR(F685="",F685="Revisar",C685=""),"",F685&amp;"-"&amp;C685&amp;"-"&amp;TEXT(COUNTIFS($F$2:F685,F685,$C$2:C685,C685),"0000"))</f>
        <v/>
      </c>
      <c r="B685" s="13" t="n"/>
      <c r="C685" s="12">
        <f>IF(ISNUMBER(B685),YEAR(B685),"")</f>
        <v/>
      </c>
      <c r="D685" s="14" t="n"/>
      <c r="E685" s="14" t="n"/>
      <c r="F685" s="12">
        <f>IF(E685="","",IFERROR(VLOOKUP(E685,LISTAS!$A$2:$C$65,2,FALSE),"Revisar"))</f>
        <v/>
      </c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2">
        <f>IF(COUNTA(B685:B685)+COUNTA(D685:E685)+COUNTA(G685:AJ685)=0,"",IF(COUNTBLANK(B685:B685)+COUNTBLANK(D685:E685)+COUNTBLANK(G685:G685)+COUNTBLANK(O685:AJ685)&gt;0,"Faltan "&amp;(COUNTBLANK(B685:B685)+COUNTBLANK(D685:E685)+COUNTBLANK(G685:G685)+COUNTBLANK(O685:AJ685))&amp;" datos obligatorios",IF(NOT(ISNUMBER(B685)),"Fecha no válida",IF(N(B685)&gt;TODAY(),"Fecha futura",IF(IFERROR(VLOOKUP(E685,LISTAS!$A$2:$C$65,3,FALSE),"")&lt;&gt;D685,"La subregión no corresponde al municipio",IF(IF(L685="",FALSE,OR(L685&lt;0,L685&gt;110)),"Edad fuera de rango",IF((V685="Sí")+(W685="Sí")+(X685="Sí")+(Y685="Sí")=0,"Marque al menos un tipo de violencia","OK")))))))</f>
        <v/>
      </c>
    </row>
    <row r="686">
      <c r="A686" s="12">
        <f>IF(OR(F686="",F686="Revisar",C686=""),"",F686&amp;"-"&amp;C686&amp;"-"&amp;TEXT(COUNTIFS($F$2:F686,F686,$C$2:C686,C686),"0000"))</f>
        <v/>
      </c>
      <c r="B686" s="13" t="n"/>
      <c r="C686" s="12">
        <f>IF(ISNUMBER(B686),YEAR(B686),"")</f>
        <v/>
      </c>
      <c r="D686" s="14" t="n"/>
      <c r="E686" s="14" t="n"/>
      <c r="F686" s="12">
        <f>IF(E686="","",IFERROR(VLOOKUP(E686,LISTAS!$A$2:$C$65,2,FALSE),"Revisar"))</f>
        <v/>
      </c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2">
        <f>IF(COUNTA(B686:B686)+COUNTA(D686:E686)+COUNTA(G686:AJ686)=0,"",IF(COUNTBLANK(B686:B686)+COUNTBLANK(D686:E686)+COUNTBLANK(G686:G686)+COUNTBLANK(O686:AJ686)&gt;0,"Faltan "&amp;(COUNTBLANK(B686:B686)+COUNTBLANK(D686:E686)+COUNTBLANK(G686:G686)+COUNTBLANK(O686:AJ686))&amp;" datos obligatorios",IF(NOT(ISNUMBER(B686)),"Fecha no válida",IF(N(B686)&gt;TODAY(),"Fecha futura",IF(IFERROR(VLOOKUP(E686,LISTAS!$A$2:$C$65,3,FALSE),"")&lt;&gt;D686,"La subregión no corresponde al municipio",IF(IF(L686="",FALSE,OR(L686&lt;0,L686&gt;110)),"Edad fuera de rango",IF((V686="Sí")+(W686="Sí")+(X686="Sí")+(Y686="Sí")=0,"Marque al menos un tipo de violencia","OK")))))))</f>
        <v/>
      </c>
    </row>
    <row r="687">
      <c r="A687" s="12">
        <f>IF(OR(F687="",F687="Revisar",C687=""),"",F687&amp;"-"&amp;C687&amp;"-"&amp;TEXT(COUNTIFS($F$2:F687,F687,$C$2:C687,C687),"0000"))</f>
        <v/>
      </c>
      <c r="B687" s="13" t="n"/>
      <c r="C687" s="12">
        <f>IF(ISNUMBER(B687),YEAR(B687),"")</f>
        <v/>
      </c>
      <c r="D687" s="14" t="n"/>
      <c r="E687" s="14" t="n"/>
      <c r="F687" s="12">
        <f>IF(E687="","",IFERROR(VLOOKUP(E687,LISTAS!$A$2:$C$65,2,FALSE),"Revisar"))</f>
        <v/>
      </c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2">
        <f>IF(COUNTA(B687:B687)+COUNTA(D687:E687)+COUNTA(G687:AJ687)=0,"",IF(COUNTBLANK(B687:B687)+COUNTBLANK(D687:E687)+COUNTBLANK(G687:G687)+COUNTBLANK(O687:AJ687)&gt;0,"Faltan "&amp;(COUNTBLANK(B687:B687)+COUNTBLANK(D687:E687)+COUNTBLANK(G687:G687)+COUNTBLANK(O687:AJ687))&amp;" datos obligatorios",IF(NOT(ISNUMBER(B687)),"Fecha no válida",IF(N(B687)&gt;TODAY(),"Fecha futura",IF(IFERROR(VLOOKUP(E687,LISTAS!$A$2:$C$65,3,FALSE),"")&lt;&gt;D687,"La subregión no corresponde al municipio",IF(IF(L687="",FALSE,OR(L687&lt;0,L687&gt;110)),"Edad fuera de rango",IF((V687="Sí")+(W687="Sí")+(X687="Sí")+(Y687="Sí")=0,"Marque al menos un tipo de violencia","OK")))))))</f>
        <v/>
      </c>
    </row>
    <row r="688">
      <c r="A688" s="12">
        <f>IF(OR(F688="",F688="Revisar",C688=""),"",F688&amp;"-"&amp;C688&amp;"-"&amp;TEXT(COUNTIFS($F$2:F688,F688,$C$2:C688,C688),"0000"))</f>
        <v/>
      </c>
      <c r="B688" s="13" t="n"/>
      <c r="C688" s="12">
        <f>IF(ISNUMBER(B688),YEAR(B688),"")</f>
        <v/>
      </c>
      <c r="D688" s="14" t="n"/>
      <c r="E688" s="14" t="n"/>
      <c r="F688" s="12">
        <f>IF(E688="","",IFERROR(VLOOKUP(E688,LISTAS!$A$2:$C$65,2,FALSE),"Revisar"))</f>
        <v/>
      </c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2">
        <f>IF(COUNTA(B688:B688)+COUNTA(D688:E688)+COUNTA(G688:AJ688)=0,"",IF(COUNTBLANK(B688:B688)+COUNTBLANK(D688:E688)+COUNTBLANK(G688:G688)+COUNTBLANK(O688:AJ688)&gt;0,"Faltan "&amp;(COUNTBLANK(B688:B688)+COUNTBLANK(D688:E688)+COUNTBLANK(G688:G688)+COUNTBLANK(O688:AJ688))&amp;" datos obligatorios",IF(NOT(ISNUMBER(B688)),"Fecha no válida",IF(N(B688)&gt;TODAY(),"Fecha futura",IF(IFERROR(VLOOKUP(E688,LISTAS!$A$2:$C$65,3,FALSE),"")&lt;&gt;D688,"La subregión no corresponde al municipio",IF(IF(L688="",FALSE,OR(L688&lt;0,L688&gt;110)),"Edad fuera de rango",IF((V688="Sí")+(W688="Sí")+(X688="Sí")+(Y688="Sí")=0,"Marque al menos un tipo de violencia","OK")))))))</f>
        <v/>
      </c>
    </row>
    <row r="689">
      <c r="A689" s="12">
        <f>IF(OR(F689="",F689="Revisar",C689=""),"",F689&amp;"-"&amp;C689&amp;"-"&amp;TEXT(COUNTIFS($F$2:F689,F689,$C$2:C689,C689),"0000"))</f>
        <v/>
      </c>
      <c r="B689" s="13" t="n"/>
      <c r="C689" s="12">
        <f>IF(ISNUMBER(B689),YEAR(B689),"")</f>
        <v/>
      </c>
      <c r="D689" s="14" t="n"/>
      <c r="E689" s="14" t="n"/>
      <c r="F689" s="12">
        <f>IF(E689="","",IFERROR(VLOOKUP(E689,LISTAS!$A$2:$C$65,2,FALSE),"Revisar"))</f>
        <v/>
      </c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2">
        <f>IF(COUNTA(B689:B689)+COUNTA(D689:E689)+COUNTA(G689:AJ689)=0,"",IF(COUNTBLANK(B689:B689)+COUNTBLANK(D689:E689)+COUNTBLANK(G689:G689)+COUNTBLANK(O689:AJ689)&gt;0,"Faltan "&amp;(COUNTBLANK(B689:B689)+COUNTBLANK(D689:E689)+COUNTBLANK(G689:G689)+COUNTBLANK(O689:AJ689))&amp;" datos obligatorios",IF(NOT(ISNUMBER(B689)),"Fecha no válida",IF(N(B689)&gt;TODAY(),"Fecha futura",IF(IFERROR(VLOOKUP(E689,LISTAS!$A$2:$C$65,3,FALSE),"")&lt;&gt;D689,"La subregión no corresponde al municipio",IF(IF(L689="",FALSE,OR(L689&lt;0,L689&gt;110)),"Edad fuera de rango",IF((V689="Sí")+(W689="Sí")+(X689="Sí")+(Y689="Sí")=0,"Marque al menos un tipo de violencia","OK")))))))</f>
        <v/>
      </c>
    </row>
    <row r="690">
      <c r="A690" s="12">
        <f>IF(OR(F690="",F690="Revisar",C690=""),"",F690&amp;"-"&amp;C690&amp;"-"&amp;TEXT(COUNTIFS($F$2:F690,F690,$C$2:C690,C690),"0000"))</f>
        <v/>
      </c>
      <c r="B690" s="13" t="n"/>
      <c r="C690" s="12">
        <f>IF(ISNUMBER(B690),YEAR(B690),"")</f>
        <v/>
      </c>
      <c r="D690" s="14" t="n"/>
      <c r="E690" s="14" t="n"/>
      <c r="F690" s="12">
        <f>IF(E690="","",IFERROR(VLOOKUP(E690,LISTAS!$A$2:$C$65,2,FALSE),"Revisar"))</f>
        <v/>
      </c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2">
        <f>IF(COUNTA(B690:B690)+COUNTA(D690:E690)+COUNTA(G690:AJ690)=0,"",IF(COUNTBLANK(B690:B690)+COUNTBLANK(D690:E690)+COUNTBLANK(G690:G690)+COUNTBLANK(O690:AJ690)&gt;0,"Faltan "&amp;(COUNTBLANK(B690:B690)+COUNTBLANK(D690:E690)+COUNTBLANK(G690:G690)+COUNTBLANK(O690:AJ690))&amp;" datos obligatorios",IF(NOT(ISNUMBER(B690)),"Fecha no válida",IF(N(B690)&gt;TODAY(),"Fecha futura",IF(IFERROR(VLOOKUP(E690,LISTAS!$A$2:$C$65,3,FALSE),"")&lt;&gt;D690,"La subregión no corresponde al municipio",IF(IF(L690="",FALSE,OR(L690&lt;0,L690&gt;110)),"Edad fuera de rango",IF((V690="Sí")+(W690="Sí")+(X690="Sí")+(Y690="Sí")=0,"Marque al menos un tipo de violencia","OK")))))))</f>
        <v/>
      </c>
    </row>
    <row r="691">
      <c r="A691" s="12">
        <f>IF(OR(F691="",F691="Revisar",C691=""),"",F691&amp;"-"&amp;C691&amp;"-"&amp;TEXT(COUNTIFS($F$2:F691,F691,$C$2:C691,C691),"0000"))</f>
        <v/>
      </c>
      <c r="B691" s="13" t="n"/>
      <c r="C691" s="12">
        <f>IF(ISNUMBER(B691),YEAR(B691),"")</f>
        <v/>
      </c>
      <c r="D691" s="14" t="n"/>
      <c r="E691" s="14" t="n"/>
      <c r="F691" s="12">
        <f>IF(E691="","",IFERROR(VLOOKUP(E691,LISTAS!$A$2:$C$65,2,FALSE),"Revisar"))</f>
        <v/>
      </c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2">
        <f>IF(COUNTA(B691:B691)+COUNTA(D691:E691)+COUNTA(G691:AJ691)=0,"",IF(COUNTBLANK(B691:B691)+COUNTBLANK(D691:E691)+COUNTBLANK(G691:G691)+COUNTBLANK(O691:AJ691)&gt;0,"Faltan "&amp;(COUNTBLANK(B691:B691)+COUNTBLANK(D691:E691)+COUNTBLANK(G691:G691)+COUNTBLANK(O691:AJ691))&amp;" datos obligatorios",IF(NOT(ISNUMBER(B691)),"Fecha no válida",IF(N(B691)&gt;TODAY(),"Fecha futura",IF(IFERROR(VLOOKUP(E691,LISTAS!$A$2:$C$65,3,FALSE),"")&lt;&gt;D691,"La subregión no corresponde al municipio",IF(IF(L691="",FALSE,OR(L691&lt;0,L691&gt;110)),"Edad fuera de rango",IF((V691="Sí")+(W691="Sí")+(X691="Sí")+(Y691="Sí")=0,"Marque al menos un tipo de violencia","OK")))))))</f>
        <v/>
      </c>
    </row>
    <row r="692">
      <c r="A692" s="12">
        <f>IF(OR(F692="",F692="Revisar",C692=""),"",F692&amp;"-"&amp;C692&amp;"-"&amp;TEXT(COUNTIFS($F$2:F692,F692,$C$2:C692,C692),"0000"))</f>
        <v/>
      </c>
      <c r="B692" s="13" t="n"/>
      <c r="C692" s="12">
        <f>IF(ISNUMBER(B692),YEAR(B692),"")</f>
        <v/>
      </c>
      <c r="D692" s="14" t="n"/>
      <c r="E692" s="14" t="n"/>
      <c r="F692" s="12">
        <f>IF(E692="","",IFERROR(VLOOKUP(E692,LISTAS!$A$2:$C$65,2,FALSE),"Revisar"))</f>
        <v/>
      </c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2">
        <f>IF(COUNTA(B692:B692)+COUNTA(D692:E692)+COUNTA(G692:AJ692)=0,"",IF(COUNTBLANK(B692:B692)+COUNTBLANK(D692:E692)+COUNTBLANK(G692:G692)+COUNTBLANK(O692:AJ692)&gt;0,"Faltan "&amp;(COUNTBLANK(B692:B692)+COUNTBLANK(D692:E692)+COUNTBLANK(G692:G692)+COUNTBLANK(O692:AJ692))&amp;" datos obligatorios",IF(NOT(ISNUMBER(B692)),"Fecha no válida",IF(N(B692)&gt;TODAY(),"Fecha futura",IF(IFERROR(VLOOKUP(E692,LISTAS!$A$2:$C$65,3,FALSE),"")&lt;&gt;D692,"La subregión no corresponde al municipio",IF(IF(L692="",FALSE,OR(L692&lt;0,L692&gt;110)),"Edad fuera de rango",IF((V692="Sí")+(W692="Sí")+(X692="Sí")+(Y692="Sí")=0,"Marque al menos un tipo de violencia","OK")))))))</f>
        <v/>
      </c>
    </row>
    <row r="693">
      <c r="A693" s="12">
        <f>IF(OR(F693="",F693="Revisar",C693=""),"",F693&amp;"-"&amp;C693&amp;"-"&amp;TEXT(COUNTIFS($F$2:F693,F693,$C$2:C693,C693),"0000"))</f>
        <v/>
      </c>
      <c r="B693" s="13" t="n"/>
      <c r="C693" s="12">
        <f>IF(ISNUMBER(B693),YEAR(B693),"")</f>
        <v/>
      </c>
      <c r="D693" s="14" t="n"/>
      <c r="E693" s="14" t="n"/>
      <c r="F693" s="12">
        <f>IF(E693="","",IFERROR(VLOOKUP(E693,LISTAS!$A$2:$C$65,2,FALSE),"Revisar"))</f>
        <v/>
      </c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2">
        <f>IF(COUNTA(B693:B693)+COUNTA(D693:E693)+COUNTA(G693:AJ693)=0,"",IF(COUNTBLANK(B693:B693)+COUNTBLANK(D693:E693)+COUNTBLANK(G693:G693)+COUNTBLANK(O693:AJ693)&gt;0,"Faltan "&amp;(COUNTBLANK(B693:B693)+COUNTBLANK(D693:E693)+COUNTBLANK(G693:G693)+COUNTBLANK(O693:AJ693))&amp;" datos obligatorios",IF(NOT(ISNUMBER(B693)),"Fecha no válida",IF(N(B693)&gt;TODAY(),"Fecha futura",IF(IFERROR(VLOOKUP(E693,LISTAS!$A$2:$C$65,3,FALSE),"")&lt;&gt;D693,"La subregión no corresponde al municipio",IF(IF(L693="",FALSE,OR(L693&lt;0,L693&gt;110)),"Edad fuera de rango",IF((V693="Sí")+(W693="Sí")+(X693="Sí")+(Y693="Sí")=0,"Marque al menos un tipo de violencia","OK")))))))</f>
        <v/>
      </c>
    </row>
    <row r="694">
      <c r="A694" s="12">
        <f>IF(OR(F694="",F694="Revisar",C694=""),"",F694&amp;"-"&amp;C694&amp;"-"&amp;TEXT(COUNTIFS($F$2:F694,F694,$C$2:C694,C694),"0000"))</f>
        <v/>
      </c>
      <c r="B694" s="13" t="n"/>
      <c r="C694" s="12">
        <f>IF(ISNUMBER(B694),YEAR(B694),"")</f>
        <v/>
      </c>
      <c r="D694" s="14" t="n"/>
      <c r="E694" s="14" t="n"/>
      <c r="F694" s="12">
        <f>IF(E694="","",IFERROR(VLOOKUP(E694,LISTAS!$A$2:$C$65,2,FALSE),"Revisar"))</f>
        <v/>
      </c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2">
        <f>IF(COUNTA(B694:B694)+COUNTA(D694:E694)+COUNTA(G694:AJ694)=0,"",IF(COUNTBLANK(B694:B694)+COUNTBLANK(D694:E694)+COUNTBLANK(G694:G694)+COUNTBLANK(O694:AJ694)&gt;0,"Faltan "&amp;(COUNTBLANK(B694:B694)+COUNTBLANK(D694:E694)+COUNTBLANK(G694:G694)+COUNTBLANK(O694:AJ694))&amp;" datos obligatorios",IF(NOT(ISNUMBER(B694)),"Fecha no válida",IF(N(B694)&gt;TODAY(),"Fecha futura",IF(IFERROR(VLOOKUP(E694,LISTAS!$A$2:$C$65,3,FALSE),"")&lt;&gt;D694,"La subregión no corresponde al municipio",IF(IF(L694="",FALSE,OR(L694&lt;0,L694&gt;110)),"Edad fuera de rango",IF((V694="Sí")+(W694="Sí")+(X694="Sí")+(Y694="Sí")=0,"Marque al menos un tipo de violencia","OK")))))))</f>
        <v/>
      </c>
    </row>
    <row r="695">
      <c r="A695" s="12">
        <f>IF(OR(F695="",F695="Revisar",C695=""),"",F695&amp;"-"&amp;C695&amp;"-"&amp;TEXT(COUNTIFS($F$2:F695,F695,$C$2:C695,C695),"0000"))</f>
        <v/>
      </c>
      <c r="B695" s="13" t="n"/>
      <c r="C695" s="12">
        <f>IF(ISNUMBER(B695),YEAR(B695),"")</f>
        <v/>
      </c>
      <c r="D695" s="14" t="n"/>
      <c r="E695" s="14" t="n"/>
      <c r="F695" s="12">
        <f>IF(E695="","",IFERROR(VLOOKUP(E695,LISTAS!$A$2:$C$65,2,FALSE),"Revisar"))</f>
        <v/>
      </c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2">
        <f>IF(COUNTA(B695:B695)+COUNTA(D695:E695)+COUNTA(G695:AJ695)=0,"",IF(COUNTBLANK(B695:B695)+COUNTBLANK(D695:E695)+COUNTBLANK(G695:G695)+COUNTBLANK(O695:AJ695)&gt;0,"Faltan "&amp;(COUNTBLANK(B695:B695)+COUNTBLANK(D695:E695)+COUNTBLANK(G695:G695)+COUNTBLANK(O695:AJ695))&amp;" datos obligatorios",IF(NOT(ISNUMBER(B695)),"Fecha no válida",IF(N(B695)&gt;TODAY(),"Fecha futura",IF(IFERROR(VLOOKUP(E695,LISTAS!$A$2:$C$65,3,FALSE),"")&lt;&gt;D695,"La subregión no corresponde al municipio",IF(IF(L695="",FALSE,OR(L695&lt;0,L695&gt;110)),"Edad fuera de rango",IF((V695="Sí")+(W695="Sí")+(X695="Sí")+(Y695="Sí")=0,"Marque al menos un tipo de violencia","OK")))))))</f>
        <v/>
      </c>
    </row>
    <row r="696">
      <c r="A696" s="12">
        <f>IF(OR(F696="",F696="Revisar",C696=""),"",F696&amp;"-"&amp;C696&amp;"-"&amp;TEXT(COUNTIFS($F$2:F696,F696,$C$2:C696,C696),"0000"))</f>
        <v/>
      </c>
      <c r="B696" s="13" t="n"/>
      <c r="C696" s="12">
        <f>IF(ISNUMBER(B696),YEAR(B696),"")</f>
        <v/>
      </c>
      <c r="D696" s="14" t="n"/>
      <c r="E696" s="14" t="n"/>
      <c r="F696" s="12">
        <f>IF(E696="","",IFERROR(VLOOKUP(E696,LISTAS!$A$2:$C$65,2,FALSE),"Revisar"))</f>
        <v/>
      </c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2">
        <f>IF(COUNTA(B696:B696)+COUNTA(D696:E696)+COUNTA(G696:AJ696)=0,"",IF(COUNTBLANK(B696:B696)+COUNTBLANK(D696:E696)+COUNTBLANK(G696:G696)+COUNTBLANK(O696:AJ696)&gt;0,"Faltan "&amp;(COUNTBLANK(B696:B696)+COUNTBLANK(D696:E696)+COUNTBLANK(G696:G696)+COUNTBLANK(O696:AJ696))&amp;" datos obligatorios",IF(NOT(ISNUMBER(B696)),"Fecha no válida",IF(N(B696)&gt;TODAY(),"Fecha futura",IF(IFERROR(VLOOKUP(E696,LISTAS!$A$2:$C$65,3,FALSE),"")&lt;&gt;D696,"La subregión no corresponde al municipio",IF(IF(L696="",FALSE,OR(L696&lt;0,L696&gt;110)),"Edad fuera de rango",IF((V696="Sí")+(W696="Sí")+(X696="Sí")+(Y696="Sí")=0,"Marque al menos un tipo de violencia","OK")))))))</f>
        <v/>
      </c>
    </row>
    <row r="697">
      <c r="A697" s="12">
        <f>IF(OR(F697="",F697="Revisar",C697=""),"",F697&amp;"-"&amp;C697&amp;"-"&amp;TEXT(COUNTIFS($F$2:F697,F697,$C$2:C697,C697),"0000"))</f>
        <v/>
      </c>
      <c r="B697" s="13" t="n"/>
      <c r="C697" s="12">
        <f>IF(ISNUMBER(B697),YEAR(B697),"")</f>
        <v/>
      </c>
      <c r="D697" s="14" t="n"/>
      <c r="E697" s="14" t="n"/>
      <c r="F697" s="12">
        <f>IF(E697="","",IFERROR(VLOOKUP(E697,LISTAS!$A$2:$C$65,2,FALSE),"Revisar"))</f>
        <v/>
      </c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2">
        <f>IF(COUNTA(B697:B697)+COUNTA(D697:E697)+COUNTA(G697:AJ697)=0,"",IF(COUNTBLANK(B697:B697)+COUNTBLANK(D697:E697)+COUNTBLANK(G697:G697)+COUNTBLANK(O697:AJ697)&gt;0,"Faltan "&amp;(COUNTBLANK(B697:B697)+COUNTBLANK(D697:E697)+COUNTBLANK(G697:G697)+COUNTBLANK(O697:AJ697))&amp;" datos obligatorios",IF(NOT(ISNUMBER(B697)),"Fecha no válida",IF(N(B697)&gt;TODAY(),"Fecha futura",IF(IFERROR(VLOOKUP(E697,LISTAS!$A$2:$C$65,3,FALSE),"")&lt;&gt;D697,"La subregión no corresponde al municipio",IF(IF(L697="",FALSE,OR(L697&lt;0,L697&gt;110)),"Edad fuera de rango",IF((V697="Sí")+(W697="Sí")+(X697="Sí")+(Y697="Sí")=0,"Marque al menos un tipo de violencia","OK")))))))</f>
        <v/>
      </c>
    </row>
    <row r="698">
      <c r="A698" s="12">
        <f>IF(OR(F698="",F698="Revisar",C698=""),"",F698&amp;"-"&amp;C698&amp;"-"&amp;TEXT(COUNTIFS($F$2:F698,F698,$C$2:C698,C698),"0000"))</f>
        <v/>
      </c>
      <c r="B698" s="13" t="n"/>
      <c r="C698" s="12">
        <f>IF(ISNUMBER(B698),YEAR(B698),"")</f>
        <v/>
      </c>
      <c r="D698" s="14" t="n"/>
      <c r="E698" s="14" t="n"/>
      <c r="F698" s="12">
        <f>IF(E698="","",IFERROR(VLOOKUP(E698,LISTAS!$A$2:$C$65,2,FALSE),"Revisar"))</f>
        <v/>
      </c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2">
        <f>IF(COUNTA(B698:B698)+COUNTA(D698:E698)+COUNTA(G698:AJ698)=0,"",IF(COUNTBLANK(B698:B698)+COUNTBLANK(D698:E698)+COUNTBLANK(G698:G698)+COUNTBLANK(O698:AJ698)&gt;0,"Faltan "&amp;(COUNTBLANK(B698:B698)+COUNTBLANK(D698:E698)+COUNTBLANK(G698:G698)+COUNTBLANK(O698:AJ698))&amp;" datos obligatorios",IF(NOT(ISNUMBER(B698)),"Fecha no válida",IF(N(B698)&gt;TODAY(),"Fecha futura",IF(IFERROR(VLOOKUP(E698,LISTAS!$A$2:$C$65,3,FALSE),"")&lt;&gt;D698,"La subregión no corresponde al municipio",IF(IF(L698="",FALSE,OR(L698&lt;0,L698&gt;110)),"Edad fuera de rango",IF((V698="Sí")+(W698="Sí")+(X698="Sí")+(Y698="Sí")=0,"Marque al menos un tipo de violencia","OK")))))))</f>
        <v/>
      </c>
    </row>
    <row r="699">
      <c r="A699" s="12">
        <f>IF(OR(F699="",F699="Revisar",C699=""),"",F699&amp;"-"&amp;C699&amp;"-"&amp;TEXT(COUNTIFS($F$2:F699,F699,$C$2:C699,C699),"0000"))</f>
        <v/>
      </c>
      <c r="B699" s="13" t="n"/>
      <c r="C699" s="12">
        <f>IF(ISNUMBER(B699),YEAR(B699),"")</f>
        <v/>
      </c>
      <c r="D699" s="14" t="n"/>
      <c r="E699" s="14" t="n"/>
      <c r="F699" s="12">
        <f>IF(E699="","",IFERROR(VLOOKUP(E699,LISTAS!$A$2:$C$65,2,FALSE),"Revisar"))</f>
        <v/>
      </c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2">
        <f>IF(COUNTA(B699:B699)+COUNTA(D699:E699)+COUNTA(G699:AJ699)=0,"",IF(COUNTBLANK(B699:B699)+COUNTBLANK(D699:E699)+COUNTBLANK(G699:G699)+COUNTBLANK(O699:AJ699)&gt;0,"Faltan "&amp;(COUNTBLANK(B699:B699)+COUNTBLANK(D699:E699)+COUNTBLANK(G699:G699)+COUNTBLANK(O699:AJ699))&amp;" datos obligatorios",IF(NOT(ISNUMBER(B699)),"Fecha no válida",IF(N(B699)&gt;TODAY(),"Fecha futura",IF(IFERROR(VLOOKUP(E699,LISTAS!$A$2:$C$65,3,FALSE),"")&lt;&gt;D699,"La subregión no corresponde al municipio",IF(IF(L699="",FALSE,OR(L699&lt;0,L699&gt;110)),"Edad fuera de rango",IF((V699="Sí")+(W699="Sí")+(X699="Sí")+(Y699="Sí")=0,"Marque al menos un tipo de violencia","OK")))))))</f>
        <v/>
      </c>
    </row>
    <row r="700">
      <c r="A700" s="12">
        <f>IF(OR(F700="",F700="Revisar",C700=""),"",F700&amp;"-"&amp;C700&amp;"-"&amp;TEXT(COUNTIFS($F$2:F700,F700,$C$2:C700,C700),"0000"))</f>
        <v/>
      </c>
      <c r="B700" s="13" t="n"/>
      <c r="C700" s="12">
        <f>IF(ISNUMBER(B700),YEAR(B700),"")</f>
        <v/>
      </c>
      <c r="D700" s="14" t="n"/>
      <c r="E700" s="14" t="n"/>
      <c r="F700" s="12">
        <f>IF(E700="","",IFERROR(VLOOKUP(E700,LISTAS!$A$2:$C$65,2,FALSE),"Revisar"))</f>
        <v/>
      </c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2">
        <f>IF(COUNTA(B700:B700)+COUNTA(D700:E700)+COUNTA(G700:AJ700)=0,"",IF(COUNTBLANK(B700:B700)+COUNTBLANK(D700:E700)+COUNTBLANK(G700:G700)+COUNTBLANK(O700:AJ700)&gt;0,"Faltan "&amp;(COUNTBLANK(B700:B700)+COUNTBLANK(D700:E700)+COUNTBLANK(G700:G700)+COUNTBLANK(O700:AJ700))&amp;" datos obligatorios",IF(NOT(ISNUMBER(B700)),"Fecha no válida",IF(N(B700)&gt;TODAY(),"Fecha futura",IF(IFERROR(VLOOKUP(E700,LISTAS!$A$2:$C$65,3,FALSE),"")&lt;&gt;D700,"La subregión no corresponde al municipio",IF(IF(L700="",FALSE,OR(L700&lt;0,L700&gt;110)),"Edad fuera de rango",IF((V700="Sí")+(W700="Sí")+(X700="Sí")+(Y700="Sí")=0,"Marque al menos un tipo de violencia","OK")))))))</f>
        <v/>
      </c>
    </row>
    <row r="701">
      <c r="A701" s="12">
        <f>IF(OR(F701="",F701="Revisar",C701=""),"",F701&amp;"-"&amp;C701&amp;"-"&amp;TEXT(COUNTIFS($F$2:F701,F701,$C$2:C701,C701),"0000"))</f>
        <v/>
      </c>
      <c r="B701" s="13" t="n"/>
      <c r="C701" s="12">
        <f>IF(ISNUMBER(B701),YEAR(B701),"")</f>
        <v/>
      </c>
      <c r="D701" s="14" t="n"/>
      <c r="E701" s="14" t="n"/>
      <c r="F701" s="12">
        <f>IF(E701="","",IFERROR(VLOOKUP(E701,LISTAS!$A$2:$C$65,2,FALSE),"Revisar"))</f>
        <v/>
      </c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2">
        <f>IF(COUNTA(B701:B701)+COUNTA(D701:E701)+COUNTA(G701:AJ701)=0,"",IF(COUNTBLANK(B701:B701)+COUNTBLANK(D701:E701)+COUNTBLANK(G701:G701)+COUNTBLANK(O701:AJ701)&gt;0,"Faltan "&amp;(COUNTBLANK(B701:B701)+COUNTBLANK(D701:E701)+COUNTBLANK(G701:G701)+COUNTBLANK(O701:AJ701))&amp;" datos obligatorios",IF(NOT(ISNUMBER(B701)),"Fecha no válida",IF(N(B701)&gt;TODAY(),"Fecha futura",IF(IFERROR(VLOOKUP(E701,LISTAS!$A$2:$C$65,3,FALSE),"")&lt;&gt;D701,"La subregión no corresponde al municipio",IF(IF(L701="",FALSE,OR(L701&lt;0,L701&gt;110)),"Edad fuera de rango",IF((V701="Sí")+(W701="Sí")+(X701="Sí")+(Y701="Sí")=0,"Marque al menos un tipo de violencia","OK")))))))</f>
        <v/>
      </c>
    </row>
    <row r="702">
      <c r="A702" s="12">
        <f>IF(OR(F702="",F702="Revisar",C702=""),"",F702&amp;"-"&amp;C702&amp;"-"&amp;TEXT(COUNTIFS($F$2:F702,F702,$C$2:C702,C702),"0000"))</f>
        <v/>
      </c>
      <c r="B702" s="13" t="n"/>
      <c r="C702" s="12">
        <f>IF(ISNUMBER(B702),YEAR(B702),"")</f>
        <v/>
      </c>
      <c r="D702" s="14" t="n"/>
      <c r="E702" s="14" t="n"/>
      <c r="F702" s="12">
        <f>IF(E702="","",IFERROR(VLOOKUP(E702,LISTAS!$A$2:$C$65,2,FALSE),"Revisar"))</f>
        <v/>
      </c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2">
        <f>IF(COUNTA(B702:B702)+COUNTA(D702:E702)+COUNTA(G702:AJ702)=0,"",IF(COUNTBLANK(B702:B702)+COUNTBLANK(D702:E702)+COUNTBLANK(G702:G702)+COUNTBLANK(O702:AJ702)&gt;0,"Faltan "&amp;(COUNTBLANK(B702:B702)+COUNTBLANK(D702:E702)+COUNTBLANK(G702:G702)+COUNTBLANK(O702:AJ702))&amp;" datos obligatorios",IF(NOT(ISNUMBER(B702)),"Fecha no válida",IF(N(B702)&gt;TODAY(),"Fecha futura",IF(IFERROR(VLOOKUP(E702,LISTAS!$A$2:$C$65,3,FALSE),"")&lt;&gt;D702,"La subregión no corresponde al municipio",IF(IF(L702="",FALSE,OR(L702&lt;0,L702&gt;110)),"Edad fuera de rango",IF((V702="Sí")+(W702="Sí")+(X702="Sí")+(Y702="Sí")=0,"Marque al menos un tipo de violencia","OK")))))))</f>
        <v/>
      </c>
    </row>
    <row r="703">
      <c r="A703" s="12">
        <f>IF(OR(F703="",F703="Revisar",C703=""),"",F703&amp;"-"&amp;C703&amp;"-"&amp;TEXT(COUNTIFS($F$2:F703,F703,$C$2:C703,C703),"0000"))</f>
        <v/>
      </c>
      <c r="B703" s="13" t="n"/>
      <c r="C703" s="12">
        <f>IF(ISNUMBER(B703),YEAR(B703),"")</f>
        <v/>
      </c>
      <c r="D703" s="14" t="n"/>
      <c r="E703" s="14" t="n"/>
      <c r="F703" s="12">
        <f>IF(E703="","",IFERROR(VLOOKUP(E703,LISTAS!$A$2:$C$65,2,FALSE),"Revisar"))</f>
        <v/>
      </c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2">
        <f>IF(COUNTA(B703:B703)+COUNTA(D703:E703)+COUNTA(G703:AJ703)=0,"",IF(COUNTBLANK(B703:B703)+COUNTBLANK(D703:E703)+COUNTBLANK(G703:G703)+COUNTBLANK(O703:AJ703)&gt;0,"Faltan "&amp;(COUNTBLANK(B703:B703)+COUNTBLANK(D703:E703)+COUNTBLANK(G703:G703)+COUNTBLANK(O703:AJ703))&amp;" datos obligatorios",IF(NOT(ISNUMBER(B703)),"Fecha no válida",IF(N(B703)&gt;TODAY(),"Fecha futura",IF(IFERROR(VLOOKUP(E703,LISTAS!$A$2:$C$65,3,FALSE),"")&lt;&gt;D703,"La subregión no corresponde al municipio",IF(IF(L703="",FALSE,OR(L703&lt;0,L703&gt;110)),"Edad fuera de rango",IF((V703="Sí")+(W703="Sí")+(X703="Sí")+(Y703="Sí")=0,"Marque al menos un tipo de violencia","OK")))))))</f>
        <v/>
      </c>
    </row>
    <row r="704">
      <c r="A704" s="12">
        <f>IF(OR(F704="",F704="Revisar",C704=""),"",F704&amp;"-"&amp;C704&amp;"-"&amp;TEXT(COUNTIFS($F$2:F704,F704,$C$2:C704,C704),"0000"))</f>
        <v/>
      </c>
      <c r="B704" s="13" t="n"/>
      <c r="C704" s="12">
        <f>IF(ISNUMBER(B704),YEAR(B704),"")</f>
        <v/>
      </c>
      <c r="D704" s="14" t="n"/>
      <c r="E704" s="14" t="n"/>
      <c r="F704" s="12">
        <f>IF(E704="","",IFERROR(VLOOKUP(E704,LISTAS!$A$2:$C$65,2,FALSE),"Revisar"))</f>
        <v/>
      </c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2">
        <f>IF(COUNTA(B704:B704)+COUNTA(D704:E704)+COUNTA(G704:AJ704)=0,"",IF(COUNTBLANK(B704:B704)+COUNTBLANK(D704:E704)+COUNTBLANK(G704:G704)+COUNTBLANK(O704:AJ704)&gt;0,"Faltan "&amp;(COUNTBLANK(B704:B704)+COUNTBLANK(D704:E704)+COUNTBLANK(G704:G704)+COUNTBLANK(O704:AJ704))&amp;" datos obligatorios",IF(NOT(ISNUMBER(B704)),"Fecha no válida",IF(N(B704)&gt;TODAY(),"Fecha futura",IF(IFERROR(VLOOKUP(E704,LISTAS!$A$2:$C$65,3,FALSE),"")&lt;&gt;D704,"La subregión no corresponde al municipio",IF(IF(L704="",FALSE,OR(L704&lt;0,L704&gt;110)),"Edad fuera de rango",IF((V704="Sí")+(W704="Sí")+(X704="Sí")+(Y704="Sí")=0,"Marque al menos un tipo de violencia","OK")))))))</f>
        <v/>
      </c>
    </row>
    <row r="705">
      <c r="A705" s="12">
        <f>IF(OR(F705="",F705="Revisar",C705=""),"",F705&amp;"-"&amp;C705&amp;"-"&amp;TEXT(COUNTIFS($F$2:F705,F705,$C$2:C705,C705),"0000"))</f>
        <v/>
      </c>
      <c r="B705" s="13" t="n"/>
      <c r="C705" s="12">
        <f>IF(ISNUMBER(B705),YEAR(B705),"")</f>
        <v/>
      </c>
      <c r="D705" s="14" t="n"/>
      <c r="E705" s="14" t="n"/>
      <c r="F705" s="12">
        <f>IF(E705="","",IFERROR(VLOOKUP(E705,LISTAS!$A$2:$C$65,2,FALSE),"Revisar"))</f>
        <v/>
      </c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2">
        <f>IF(COUNTA(B705:B705)+COUNTA(D705:E705)+COUNTA(G705:AJ705)=0,"",IF(COUNTBLANK(B705:B705)+COUNTBLANK(D705:E705)+COUNTBLANK(G705:G705)+COUNTBLANK(O705:AJ705)&gt;0,"Faltan "&amp;(COUNTBLANK(B705:B705)+COUNTBLANK(D705:E705)+COUNTBLANK(G705:G705)+COUNTBLANK(O705:AJ705))&amp;" datos obligatorios",IF(NOT(ISNUMBER(B705)),"Fecha no válida",IF(N(B705)&gt;TODAY(),"Fecha futura",IF(IFERROR(VLOOKUP(E705,LISTAS!$A$2:$C$65,3,FALSE),"")&lt;&gt;D705,"La subregión no corresponde al municipio",IF(IF(L705="",FALSE,OR(L705&lt;0,L705&gt;110)),"Edad fuera de rango",IF((V705="Sí")+(W705="Sí")+(X705="Sí")+(Y705="Sí")=0,"Marque al menos un tipo de violencia","OK")))))))</f>
        <v/>
      </c>
    </row>
    <row r="706">
      <c r="A706" s="12">
        <f>IF(OR(F706="",F706="Revisar",C706=""),"",F706&amp;"-"&amp;C706&amp;"-"&amp;TEXT(COUNTIFS($F$2:F706,F706,$C$2:C706,C706),"0000"))</f>
        <v/>
      </c>
      <c r="B706" s="13" t="n"/>
      <c r="C706" s="12">
        <f>IF(ISNUMBER(B706),YEAR(B706),"")</f>
        <v/>
      </c>
      <c r="D706" s="14" t="n"/>
      <c r="E706" s="14" t="n"/>
      <c r="F706" s="12">
        <f>IF(E706="","",IFERROR(VLOOKUP(E706,LISTAS!$A$2:$C$65,2,FALSE),"Revisar"))</f>
        <v/>
      </c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2">
        <f>IF(COUNTA(B706:B706)+COUNTA(D706:E706)+COUNTA(G706:AJ706)=0,"",IF(COUNTBLANK(B706:B706)+COUNTBLANK(D706:E706)+COUNTBLANK(G706:G706)+COUNTBLANK(O706:AJ706)&gt;0,"Faltan "&amp;(COUNTBLANK(B706:B706)+COUNTBLANK(D706:E706)+COUNTBLANK(G706:G706)+COUNTBLANK(O706:AJ706))&amp;" datos obligatorios",IF(NOT(ISNUMBER(B706)),"Fecha no válida",IF(N(B706)&gt;TODAY(),"Fecha futura",IF(IFERROR(VLOOKUP(E706,LISTAS!$A$2:$C$65,3,FALSE),"")&lt;&gt;D706,"La subregión no corresponde al municipio",IF(IF(L706="",FALSE,OR(L706&lt;0,L706&gt;110)),"Edad fuera de rango",IF((V706="Sí")+(W706="Sí")+(X706="Sí")+(Y706="Sí")=0,"Marque al menos un tipo de violencia","OK")))))))</f>
        <v/>
      </c>
    </row>
    <row r="707">
      <c r="A707" s="12">
        <f>IF(OR(F707="",F707="Revisar",C707=""),"",F707&amp;"-"&amp;C707&amp;"-"&amp;TEXT(COUNTIFS($F$2:F707,F707,$C$2:C707,C707),"0000"))</f>
        <v/>
      </c>
      <c r="B707" s="13" t="n"/>
      <c r="C707" s="12">
        <f>IF(ISNUMBER(B707),YEAR(B707),"")</f>
        <v/>
      </c>
      <c r="D707" s="14" t="n"/>
      <c r="E707" s="14" t="n"/>
      <c r="F707" s="12">
        <f>IF(E707="","",IFERROR(VLOOKUP(E707,LISTAS!$A$2:$C$65,2,FALSE),"Revisar"))</f>
        <v/>
      </c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2">
        <f>IF(COUNTA(B707:B707)+COUNTA(D707:E707)+COUNTA(G707:AJ707)=0,"",IF(COUNTBLANK(B707:B707)+COUNTBLANK(D707:E707)+COUNTBLANK(G707:G707)+COUNTBLANK(O707:AJ707)&gt;0,"Faltan "&amp;(COUNTBLANK(B707:B707)+COUNTBLANK(D707:E707)+COUNTBLANK(G707:G707)+COUNTBLANK(O707:AJ707))&amp;" datos obligatorios",IF(NOT(ISNUMBER(B707)),"Fecha no válida",IF(N(B707)&gt;TODAY(),"Fecha futura",IF(IFERROR(VLOOKUP(E707,LISTAS!$A$2:$C$65,3,FALSE),"")&lt;&gt;D707,"La subregión no corresponde al municipio",IF(IF(L707="",FALSE,OR(L707&lt;0,L707&gt;110)),"Edad fuera de rango",IF((V707="Sí")+(W707="Sí")+(X707="Sí")+(Y707="Sí")=0,"Marque al menos un tipo de violencia","OK")))))))</f>
        <v/>
      </c>
    </row>
    <row r="708">
      <c r="A708" s="12">
        <f>IF(OR(F708="",F708="Revisar",C708=""),"",F708&amp;"-"&amp;C708&amp;"-"&amp;TEXT(COUNTIFS($F$2:F708,F708,$C$2:C708,C708),"0000"))</f>
        <v/>
      </c>
      <c r="B708" s="13" t="n"/>
      <c r="C708" s="12">
        <f>IF(ISNUMBER(B708),YEAR(B708),"")</f>
        <v/>
      </c>
      <c r="D708" s="14" t="n"/>
      <c r="E708" s="14" t="n"/>
      <c r="F708" s="12">
        <f>IF(E708="","",IFERROR(VLOOKUP(E708,LISTAS!$A$2:$C$65,2,FALSE),"Revisar"))</f>
        <v/>
      </c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2">
        <f>IF(COUNTA(B708:B708)+COUNTA(D708:E708)+COUNTA(G708:AJ708)=0,"",IF(COUNTBLANK(B708:B708)+COUNTBLANK(D708:E708)+COUNTBLANK(G708:G708)+COUNTBLANK(O708:AJ708)&gt;0,"Faltan "&amp;(COUNTBLANK(B708:B708)+COUNTBLANK(D708:E708)+COUNTBLANK(G708:G708)+COUNTBLANK(O708:AJ708))&amp;" datos obligatorios",IF(NOT(ISNUMBER(B708)),"Fecha no válida",IF(N(B708)&gt;TODAY(),"Fecha futura",IF(IFERROR(VLOOKUP(E708,LISTAS!$A$2:$C$65,3,FALSE),"")&lt;&gt;D708,"La subregión no corresponde al municipio",IF(IF(L708="",FALSE,OR(L708&lt;0,L708&gt;110)),"Edad fuera de rango",IF((V708="Sí")+(W708="Sí")+(X708="Sí")+(Y708="Sí")=0,"Marque al menos un tipo de violencia","OK")))))))</f>
        <v/>
      </c>
    </row>
    <row r="709">
      <c r="A709" s="12">
        <f>IF(OR(F709="",F709="Revisar",C709=""),"",F709&amp;"-"&amp;C709&amp;"-"&amp;TEXT(COUNTIFS($F$2:F709,F709,$C$2:C709,C709),"0000"))</f>
        <v/>
      </c>
      <c r="B709" s="13" t="n"/>
      <c r="C709" s="12">
        <f>IF(ISNUMBER(B709),YEAR(B709),"")</f>
        <v/>
      </c>
      <c r="D709" s="14" t="n"/>
      <c r="E709" s="14" t="n"/>
      <c r="F709" s="12">
        <f>IF(E709="","",IFERROR(VLOOKUP(E709,LISTAS!$A$2:$C$65,2,FALSE),"Revisar"))</f>
        <v/>
      </c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2">
        <f>IF(COUNTA(B709:B709)+COUNTA(D709:E709)+COUNTA(G709:AJ709)=0,"",IF(COUNTBLANK(B709:B709)+COUNTBLANK(D709:E709)+COUNTBLANK(G709:G709)+COUNTBLANK(O709:AJ709)&gt;0,"Faltan "&amp;(COUNTBLANK(B709:B709)+COUNTBLANK(D709:E709)+COUNTBLANK(G709:G709)+COUNTBLANK(O709:AJ709))&amp;" datos obligatorios",IF(NOT(ISNUMBER(B709)),"Fecha no válida",IF(N(B709)&gt;TODAY(),"Fecha futura",IF(IFERROR(VLOOKUP(E709,LISTAS!$A$2:$C$65,3,FALSE),"")&lt;&gt;D709,"La subregión no corresponde al municipio",IF(IF(L709="",FALSE,OR(L709&lt;0,L709&gt;110)),"Edad fuera de rango",IF((V709="Sí")+(W709="Sí")+(X709="Sí")+(Y709="Sí")=0,"Marque al menos un tipo de violencia","OK")))))))</f>
        <v/>
      </c>
    </row>
    <row r="710">
      <c r="A710" s="12">
        <f>IF(OR(F710="",F710="Revisar",C710=""),"",F710&amp;"-"&amp;C710&amp;"-"&amp;TEXT(COUNTIFS($F$2:F710,F710,$C$2:C710,C710),"0000"))</f>
        <v/>
      </c>
      <c r="B710" s="13" t="n"/>
      <c r="C710" s="12">
        <f>IF(ISNUMBER(B710),YEAR(B710),"")</f>
        <v/>
      </c>
      <c r="D710" s="14" t="n"/>
      <c r="E710" s="14" t="n"/>
      <c r="F710" s="12">
        <f>IF(E710="","",IFERROR(VLOOKUP(E710,LISTAS!$A$2:$C$65,2,FALSE),"Revisar"))</f>
        <v/>
      </c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2">
        <f>IF(COUNTA(B710:B710)+COUNTA(D710:E710)+COUNTA(G710:AJ710)=0,"",IF(COUNTBLANK(B710:B710)+COUNTBLANK(D710:E710)+COUNTBLANK(G710:G710)+COUNTBLANK(O710:AJ710)&gt;0,"Faltan "&amp;(COUNTBLANK(B710:B710)+COUNTBLANK(D710:E710)+COUNTBLANK(G710:G710)+COUNTBLANK(O710:AJ710))&amp;" datos obligatorios",IF(NOT(ISNUMBER(B710)),"Fecha no válida",IF(N(B710)&gt;TODAY(),"Fecha futura",IF(IFERROR(VLOOKUP(E710,LISTAS!$A$2:$C$65,3,FALSE),"")&lt;&gt;D710,"La subregión no corresponde al municipio",IF(IF(L710="",FALSE,OR(L710&lt;0,L710&gt;110)),"Edad fuera de rango",IF((V710="Sí")+(W710="Sí")+(X710="Sí")+(Y710="Sí")=0,"Marque al menos un tipo de violencia","OK")))))))</f>
        <v/>
      </c>
    </row>
    <row r="711">
      <c r="A711" s="12">
        <f>IF(OR(F711="",F711="Revisar",C711=""),"",F711&amp;"-"&amp;C711&amp;"-"&amp;TEXT(COUNTIFS($F$2:F711,F711,$C$2:C711,C711),"0000"))</f>
        <v/>
      </c>
      <c r="B711" s="13" t="n"/>
      <c r="C711" s="12">
        <f>IF(ISNUMBER(B711),YEAR(B711),"")</f>
        <v/>
      </c>
      <c r="D711" s="14" t="n"/>
      <c r="E711" s="14" t="n"/>
      <c r="F711" s="12">
        <f>IF(E711="","",IFERROR(VLOOKUP(E711,LISTAS!$A$2:$C$65,2,FALSE),"Revisar"))</f>
        <v/>
      </c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2">
        <f>IF(COUNTA(B711:B711)+COUNTA(D711:E711)+COUNTA(G711:AJ711)=0,"",IF(COUNTBLANK(B711:B711)+COUNTBLANK(D711:E711)+COUNTBLANK(G711:G711)+COUNTBLANK(O711:AJ711)&gt;0,"Faltan "&amp;(COUNTBLANK(B711:B711)+COUNTBLANK(D711:E711)+COUNTBLANK(G711:G711)+COUNTBLANK(O711:AJ711))&amp;" datos obligatorios",IF(NOT(ISNUMBER(B711)),"Fecha no válida",IF(N(B711)&gt;TODAY(),"Fecha futura",IF(IFERROR(VLOOKUP(E711,LISTAS!$A$2:$C$65,3,FALSE),"")&lt;&gt;D711,"La subregión no corresponde al municipio",IF(IF(L711="",FALSE,OR(L711&lt;0,L711&gt;110)),"Edad fuera de rango",IF((V711="Sí")+(W711="Sí")+(X711="Sí")+(Y711="Sí")=0,"Marque al menos un tipo de violencia","OK")))))))</f>
        <v/>
      </c>
    </row>
    <row r="712">
      <c r="A712" s="12">
        <f>IF(OR(F712="",F712="Revisar",C712=""),"",F712&amp;"-"&amp;C712&amp;"-"&amp;TEXT(COUNTIFS($F$2:F712,F712,$C$2:C712,C712),"0000"))</f>
        <v/>
      </c>
      <c r="B712" s="13" t="n"/>
      <c r="C712" s="12">
        <f>IF(ISNUMBER(B712),YEAR(B712),"")</f>
        <v/>
      </c>
      <c r="D712" s="14" t="n"/>
      <c r="E712" s="14" t="n"/>
      <c r="F712" s="12">
        <f>IF(E712="","",IFERROR(VLOOKUP(E712,LISTAS!$A$2:$C$65,2,FALSE),"Revisar"))</f>
        <v/>
      </c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2">
        <f>IF(COUNTA(B712:B712)+COUNTA(D712:E712)+COUNTA(G712:AJ712)=0,"",IF(COUNTBLANK(B712:B712)+COUNTBLANK(D712:E712)+COUNTBLANK(G712:G712)+COUNTBLANK(O712:AJ712)&gt;0,"Faltan "&amp;(COUNTBLANK(B712:B712)+COUNTBLANK(D712:E712)+COUNTBLANK(G712:G712)+COUNTBLANK(O712:AJ712))&amp;" datos obligatorios",IF(NOT(ISNUMBER(B712)),"Fecha no válida",IF(N(B712)&gt;TODAY(),"Fecha futura",IF(IFERROR(VLOOKUP(E712,LISTAS!$A$2:$C$65,3,FALSE),"")&lt;&gt;D712,"La subregión no corresponde al municipio",IF(IF(L712="",FALSE,OR(L712&lt;0,L712&gt;110)),"Edad fuera de rango",IF((V712="Sí")+(W712="Sí")+(X712="Sí")+(Y712="Sí")=0,"Marque al menos un tipo de violencia","OK")))))))</f>
        <v/>
      </c>
    </row>
    <row r="713">
      <c r="A713" s="12">
        <f>IF(OR(F713="",F713="Revisar",C713=""),"",F713&amp;"-"&amp;C713&amp;"-"&amp;TEXT(COUNTIFS($F$2:F713,F713,$C$2:C713,C713),"0000"))</f>
        <v/>
      </c>
      <c r="B713" s="13" t="n"/>
      <c r="C713" s="12">
        <f>IF(ISNUMBER(B713),YEAR(B713),"")</f>
        <v/>
      </c>
      <c r="D713" s="14" t="n"/>
      <c r="E713" s="14" t="n"/>
      <c r="F713" s="12">
        <f>IF(E713="","",IFERROR(VLOOKUP(E713,LISTAS!$A$2:$C$65,2,FALSE),"Revisar"))</f>
        <v/>
      </c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2">
        <f>IF(COUNTA(B713:B713)+COUNTA(D713:E713)+COUNTA(G713:AJ713)=0,"",IF(COUNTBLANK(B713:B713)+COUNTBLANK(D713:E713)+COUNTBLANK(G713:G713)+COUNTBLANK(O713:AJ713)&gt;0,"Faltan "&amp;(COUNTBLANK(B713:B713)+COUNTBLANK(D713:E713)+COUNTBLANK(G713:G713)+COUNTBLANK(O713:AJ713))&amp;" datos obligatorios",IF(NOT(ISNUMBER(B713)),"Fecha no válida",IF(N(B713)&gt;TODAY(),"Fecha futura",IF(IFERROR(VLOOKUP(E713,LISTAS!$A$2:$C$65,3,FALSE),"")&lt;&gt;D713,"La subregión no corresponde al municipio",IF(IF(L713="",FALSE,OR(L713&lt;0,L713&gt;110)),"Edad fuera de rango",IF((V713="Sí")+(W713="Sí")+(X713="Sí")+(Y713="Sí")=0,"Marque al menos un tipo de violencia","OK")))))))</f>
        <v/>
      </c>
    </row>
    <row r="714">
      <c r="A714" s="12">
        <f>IF(OR(F714="",F714="Revisar",C714=""),"",F714&amp;"-"&amp;C714&amp;"-"&amp;TEXT(COUNTIFS($F$2:F714,F714,$C$2:C714,C714),"0000"))</f>
        <v/>
      </c>
      <c r="B714" s="13" t="n"/>
      <c r="C714" s="12">
        <f>IF(ISNUMBER(B714),YEAR(B714),"")</f>
        <v/>
      </c>
      <c r="D714" s="14" t="n"/>
      <c r="E714" s="14" t="n"/>
      <c r="F714" s="12">
        <f>IF(E714="","",IFERROR(VLOOKUP(E714,LISTAS!$A$2:$C$65,2,FALSE),"Revisar"))</f>
        <v/>
      </c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2">
        <f>IF(COUNTA(B714:B714)+COUNTA(D714:E714)+COUNTA(G714:AJ714)=0,"",IF(COUNTBLANK(B714:B714)+COUNTBLANK(D714:E714)+COUNTBLANK(G714:G714)+COUNTBLANK(O714:AJ714)&gt;0,"Faltan "&amp;(COUNTBLANK(B714:B714)+COUNTBLANK(D714:E714)+COUNTBLANK(G714:G714)+COUNTBLANK(O714:AJ714))&amp;" datos obligatorios",IF(NOT(ISNUMBER(B714)),"Fecha no válida",IF(N(B714)&gt;TODAY(),"Fecha futura",IF(IFERROR(VLOOKUP(E714,LISTAS!$A$2:$C$65,3,FALSE),"")&lt;&gt;D714,"La subregión no corresponde al municipio",IF(IF(L714="",FALSE,OR(L714&lt;0,L714&gt;110)),"Edad fuera de rango",IF((V714="Sí")+(W714="Sí")+(X714="Sí")+(Y714="Sí")=0,"Marque al menos un tipo de violencia","OK")))))))</f>
        <v/>
      </c>
    </row>
    <row r="715">
      <c r="A715" s="12">
        <f>IF(OR(F715="",F715="Revisar",C715=""),"",F715&amp;"-"&amp;C715&amp;"-"&amp;TEXT(COUNTIFS($F$2:F715,F715,$C$2:C715,C715),"0000"))</f>
        <v/>
      </c>
      <c r="B715" s="13" t="n"/>
      <c r="C715" s="12">
        <f>IF(ISNUMBER(B715),YEAR(B715),"")</f>
        <v/>
      </c>
      <c r="D715" s="14" t="n"/>
      <c r="E715" s="14" t="n"/>
      <c r="F715" s="12">
        <f>IF(E715="","",IFERROR(VLOOKUP(E715,LISTAS!$A$2:$C$65,2,FALSE),"Revisar"))</f>
        <v/>
      </c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2">
        <f>IF(COUNTA(B715:B715)+COUNTA(D715:E715)+COUNTA(G715:AJ715)=0,"",IF(COUNTBLANK(B715:B715)+COUNTBLANK(D715:E715)+COUNTBLANK(G715:G715)+COUNTBLANK(O715:AJ715)&gt;0,"Faltan "&amp;(COUNTBLANK(B715:B715)+COUNTBLANK(D715:E715)+COUNTBLANK(G715:G715)+COUNTBLANK(O715:AJ715))&amp;" datos obligatorios",IF(NOT(ISNUMBER(B715)),"Fecha no válida",IF(N(B715)&gt;TODAY(),"Fecha futura",IF(IFERROR(VLOOKUP(E715,LISTAS!$A$2:$C$65,3,FALSE),"")&lt;&gt;D715,"La subregión no corresponde al municipio",IF(IF(L715="",FALSE,OR(L715&lt;0,L715&gt;110)),"Edad fuera de rango",IF((V715="Sí")+(W715="Sí")+(X715="Sí")+(Y715="Sí")=0,"Marque al menos un tipo de violencia","OK")))))))</f>
        <v/>
      </c>
    </row>
    <row r="716">
      <c r="A716" s="12">
        <f>IF(OR(F716="",F716="Revisar",C716=""),"",F716&amp;"-"&amp;C716&amp;"-"&amp;TEXT(COUNTIFS($F$2:F716,F716,$C$2:C716,C716),"0000"))</f>
        <v/>
      </c>
      <c r="B716" s="13" t="n"/>
      <c r="C716" s="12">
        <f>IF(ISNUMBER(B716),YEAR(B716),"")</f>
        <v/>
      </c>
      <c r="D716" s="14" t="n"/>
      <c r="E716" s="14" t="n"/>
      <c r="F716" s="12">
        <f>IF(E716="","",IFERROR(VLOOKUP(E716,LISTAS!$A$2:$C$65,2,FALSE),"Revisar"))</f>
        <v/>
      </c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2">
        <f>IF(COUNTA(B716:B716)+COUNTA(D716:E716)+COUNTA(G716:AJ716)=0,"",IF(COUNTBLANK(B716:B716)+COUNTBLANK(D716:E716)+COUNTBLANK(G716:G716)+COUNTBLANK(O716:AJ716)&gt;0,"Faltan "&amp;(COUNTBLANK(B716:B716)+COUNTBLANK(D716:E716)+COUNTBLANK(G716:G716)+COUNTBLANK(O716:AJ716))&amp;" datos obligatorios",IF(NOT(ISNUMBER(B716)),"Fecha no válida",IF(N(B716)&gt;TODAY(),"Fecha futura",IF(IFERROR(VLOOKUP(E716,LISTAS!$A$2:$C$65,3,FALSE),"")&lt;&gt;D716,"La subregión no corresponde al municipio",IF(IF(L716="",FALSE,OR(L716&lt;0,L716&gt;110)),"Edad fuera de rango",IF((V716="Sí")+(W716="Sí")+(X716="Sí")+(Y716="Sí")=0,"Marque al menos un tipo de violencia","OK")))))))</f>
        <v/>
      </c>
    </row>
    <row r="717">
      <c r="A717" s="12">
        <f>IF(OR(F717="",F717="Revisar",C717=""),"",F717&amp;"-"&amp;C717&amp;"-"&amp;TEXT(COUNTIFS($F$2:F717,F717,$C$2:C717,C717),"0000"))</f>
        <v/>
      </c>
      <c r="B717" s="13" t="n"/>
      <c r="C717" s="12">
        <f>IF(ISNUMBER(B717),YEAR(B717),"")</f>
        <v/>
      </c>
      <c r="D717" s="14" t="n"/>
      <c r="E717" s="14" t="n"/>
      <c r="F717" s="12">
        <f>IF(E717="","",IFERROR(VLOOKUP(E717,LISTAS!$A$2:$C$65,2,FALSE),"Revisar"))</f>
        <v/>
      </c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2">
        <f>IF(COUNTA(B717:B717)+COUNTA(D717:E717)+COUNTA(G717:AJ717)=0,"",IF(COUNTBLANK(B717:B717)+COUNTBLANK(D717:E717)+COUNTBLANK(G717:G717)+COUNTBLANK(O717:AJ717)&gt;0,"Faltan "&amp;(COUNTBLANK(B717:B717)+COUNTBLANK(D717:E717)+COUNTBLANK(G717:G717)+COUNTBLANK(O717:AJ717))&amp;" datos obligatorios",IF(NOT(ISNUMBER(B717)),"Fecha no válida",IF(N(B717)&gt;TODAY(),"Fecha futura",IF(IFERROR(VLOOKUP(E717,LISTAS!$A$2:$C$65,3,FALSE),"")&lt;&gt;D717,"La subregión no corresponde al municipio",IF(IF(L717="",FALSE,OR(L717&lt;0,L717&gt;110)),"Edad fuera de rango",IF((V717="Sí")+(W717="Sí")+(X717="Sí")+(Y717="Sí")=0,"Marque al menos un tipo de violencia","OK")))))))</f>
        <v/>
      </c>
    </row>
    <row r="718">
      <c r="A718" s="12">
        <f>IF(OR(F718="",F718="Revisar",C718=""),"",F718&amp;"-"&amp;C718&amp;"-"&amp;TEXT(COUNTIFS($F$2:F718,F718,$C$2:C718,C718),"0000"))</f>
        <v/>
      </c>
      <c r="B718" s="13" t="n"/>
      <c r="C718" s="12">
        <f>IF(ISNUMBER(B718),YEAR(B718),"")</f>
        <v/>
      </c>
      <c r="D718" s="14" t="n"/>
      <c r="E718" s="14" t="n"/>
      <c r="F718" s="12">
        <f>IF(E718="","",IFERROR(VLOOKUP(E718,LISTAS!$A$2:$C$65,2,FALSE),"Revisar"))</f>
        <v/>
      </c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2">
        <f>IF(COUNTA(B718:B718)+COUNTA(D718:E718)+COUNTA(G718:AJ718)=0,"",IF(COUNTBLANK(B718:B718)+COUNTBLANK(D718:E718)+COUNTBLANK(G718:G718)+COUNTBLANK(O718:AJ718)&gt;0,"Faltan "&amp;(COUNTBLANK(B718:B718)+COUNTBLANK(D718:E718)+COUNTBLANK(G718:G718)+COUNTBLANK(O718:AJ718))&amp;" datos obligatorios",IF(NOT(ISNUMBER(B718)),"Fecha no válida",IF(N(B718)&gt;TODAY(),"Fecha futura",IF(IFERROR(VLOOKUP(E718,LISTAS!$A$2:$C$65,3,FALSE),"")&lt;&gt;D718,"La subregión no corresponde al municipio",IF(IF(L718="",FALSE,OR(L718&lt;0,L718&gt;110)),"Edad fuera de rango",IF((V718="Sí")+(W718="Sí")+(X718="Sí")+(Y718="Sí")=0,"Marque al menos un tipo de violencia","OK")))))))</f>
        <v/>
      </c>
    </row>
    <row r="719">
      <c r="A719" s="12">
        <f>IF(OR(F719="",F719="Revisar",C719=""),"",F719&amp;"-"&amp;C719&amp;"-"&amp;TEXT(COUNTIFS($F$2:F719,F719,$C$2:C719,C719),"0000"))</f>
        <v/>
      </c>
      <c r="B719" s="13" t="n"/>
      <c r="C719" s="12">
        <f>IF(ISNUMBER(B719),YEAR(B719),"")</f>
        <v/>
      </c>
      <c r="D719" s="14" t="n"/>
      <c r="E719" s="14" t="n"/>
      <c r="F719" s="12">
        <f>IF(E719="","",IFERROR(VLOOKUP(E719,LISTAS!$A$2:$C$65,2,FALSE),"Revisar"))</f>
        <v/>
      </c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2">
        <f>IF(COUNTA(B719:B719)+COUNTA(D719:E719)+COUNTA(G719:AJ719)=0,"",IF(COUNTBLANK(B719:B719)+COUNTBLANK(D719:E719)+COUNTBLANK(G719:G719)+COUNTBLANK(O719:AJ719)&gt;0,"Faltan "&amp;(COUNTBLANK(B719:B719)+COUNTBLANK(D719:E719)+COUNTBLANK(G719:G719)+COUNTBLANK(O719:AJ719))&amp;" datos obligatorios",IF(NOT(ISNUMBER(B719)),"Fecha no válida",IF(N(B719)&gt;TODAY(),"Fecha futura",IF(IFERROR(VLOOKUP(E719,LISTAS!$A$2:$C$65,3,FALSE),"")&lt;&gt;D719,"La subregión no corresponde al municipio",IF(IF(L719="",FALSE,OR(L719&lt;0,L719&gt;110)),"Edad fuera de rango",IF((V719="Sí")+(W719="Sí")+(X719="Sí")+(Y719="Sí")=0,"Marque al menos un tipo de violencia","OK")))))))</f>
        <v/>
      </c>
    </row>
    <row r="720">
      <c r="A720" s="12">
        <f>IF(OR(F720="",F720="Revisar",C720=""),"",F720&amp;"-"&amp;C720&amp;"-"&amp;TEXT(COUNTIFS($F$2:F720,F720,$C$2:C720,C720),"0000"))</f>
        <v/>
      </c>
      <c r="B720" s="13" t="n"/>
      <c r="C720" s="12">
        <f>IF(ISNUMBER(B720),YEAR(B720),"")</f>
        <v/>
      </c>
      <c r="D720" s="14" t="n"/>
      <c r="E720" s="14" t="n"/>
      <c r="F720" s="12">
        <f>IF(E720="","",IFERROR(VLOOKUP(E720,LISTAS!$A$2:$C$65,2,FALSE),"Revisar"))</f>
        <v/>
      </c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2">
        <f>IF(COUNTA(B720:B720)+COUNTA(D720:E720)+COUNTA(G720:AJ720)=0,"",IF(COUNTBLANK(B720:B720)+COUNTBLANK(D720:E720)+COUNTBLANK(G720:G720)+COUNTBLANK(O720:AJ720)&gt;0,"Faltan "&amp;(COUNTBLANK(B720:B720)+COUNTBLANK(D720:E720)+COUNTBLANK(G720:G720)+COUNTBLANK(O720:AJ720))&amp;" datos obligatorios",IF(NOT(ISNUMBER(B720)),"Fecha no válida",IF(N(B720)&gt;TODAY(),"Fecha futura",IF(IFERROR(VLOOKUP(E720,LISTAS!$A$2:$C$65,3,FALSE),"")&lt;&gt;D720,"La subregión no corresponde al municipio",IF(IF(L720="",FALSE,OR(L720&lt;0,L720&gt;110)),"Edad fuera de rango",IF((V720="Sí")+(W720="Sí")+(X720="Sí")+(Y720="Sí")=0,"Marque al menos un tipo de violencia","OK")))))))</f>
        <v/>
      </c>
    </row>
    <row r="721">
      <c r="A721" s="12">
        <f>IF(OR(F721="",F721="Revisar",C721=""),"",F721&amp;"-"&amp;C721&amp;"-"&amp;TEXT(COUNTIFS($F$2:F721,F721,$C$2:C721,C721),"0000"))</f>
        <v/>
      </c>
      <c r="B721" s="13" t="n"/>
      <c r="C721" s="12">
        <f>IF(ISNUMBER(B721),YEAR(B721),"")</f>
        <v/>
      </c>
      <c r="D721" s="14" t="n"/>
      <c r="E721" s="14" t="n"/>
      <c r="F721" s="12">
        <f>IF(E721="","",IFERROR(VLOOKUP(E721,LISTAS!$A$2:$C$65,2,FALSE),"Revisar"))</f>
        <v/>
      </c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2">
        <f>IF(COUNTA(B721:B721)+COUNTA(D721:E721)+COUNTA(G721:AJ721)=0,"",IF(COUNTBLANK(B721:B721)+COUNTBLANK(D721:E721)+COUNTBLANK(G721:G721)+COUNTBLANK(O721:AJ721)&gt;0,"Faltan "&amp;(COUNTBLANK(B721:B721)+COUNTBLANK(D721:E721)+COUNTBLANK(G721:G721)+COUNTBLANK(O721:AJ721))&amp;" datos obligatorios",IF(NOT(ISNUMBER(B721)),"Fecha no válida",IF(N(B721)&gt;TODAY(),"Fecha futura",IF(IFERROR(VLOOKUP(E721,LISTAS!$A$2:$C$65,3,FALSE),"")&lt;&gt;D721,"La subregión no corresponde al municipio",IF(IF(L721="",FALSE,OR(L721&lt;0,L721&gt;110)),"Edad fuera de rango",IF((V721="Sí")+(W721="Sí")+(X721="Sí")+(Y721="Sí")=0,"Marque al menos un tipo de violencia","OK")))))))</f>
        <v/>
      </c>
    </row>
    <row r="722">
      <c r="A722" s="12">
        <f>IF(OR(F722="",F722="Revisar",C722=""),"",F722&amp;"-"&amp;C722&amp;"-"&amp;TEXT(COUNTIFS($F$2:F722,F722,$C$2:C722,C722),"0000"))</f>
        <v/>
      </c>
      <c r="B722" s="13" t="n"/>
      <c r="C722" s="12">
        <f>IF(ISNUMBER(B722),YEAR(B722),"")</f>
        <v/>
      </c>
      <c r="D722" s="14" t="n"/>
      <c r="E722" s="14" t="n"/>
      <c r="F722" s="12">
        <f>IF(E722="","",IFERROR(VLOOKUP(E722,LISTAS!$A$2:$C$65,2,FALSE),"Revisar"))</f>
        <v/>
      </c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2">
        <f>IF(COUNTA(B722:B722)+COUNTA(D722:E722)+COUNTA(G722:AJ722)=0,"",IF(COUNTBLANK(B722:B722)+COUNTBLANK(D722:E722)+COUNTBLANK(G722:G722)+COUNTBLANK(O722:AJ722)&gt;0,"Faltan "&amp;(COUNTBLANK(B722:B722)+COUNTBLANK(D722:E722)+COUNTBLANK(G722:G722)+COUNTBLANK(O722:AJ722))&amp;" datos obligatorios",IF(NOT(ISNUMBER(B722)),"Fecha no válida",IF(N(B722)&gt;TODAY(),"Fecha futura",IF(IFERROR(VLOOKUP(E722,LISTAS!$A$2:$C$65,3,FALSE),"")&lt;&gt;D722,"La subregión no corresponde al municipio",IF(IF(L722="",FALSE,OR(L722&lt;0,L722&gt;110)),"Edad fuera de rango",IF((V722="Sí")+(W722="Sí")+(X722="Sí")+(Y722="Sí")=0,"Marque al menos un tipo de violencia","OK")))))))</f>
        <v/>
      </c>
    </row>
    <row r="723">
      <c r="A723" s="12">
        <f>IF(OR(F723="",F723="Revisar",C723=""),"",F723&amp;"-"&amp;C723&amp;"-"&amp;TEXT(COUNTIFS($F$2:F723,F723,$C$2:C723,C723),"0000"))</f>
        <v/>
      </c>
      <c r="B723" s="13" t="n"/>
      <c r="C723" s="12">
        <f>IF(ISNUMBER(B723),YEAR(B723),"")</f>
        <v/>
      </c>
      <c r="D723" s="14" t="n"/>
      <c r="E723" s="14" t="n"/>
      <c r="F723" s="12">
        <f>IF(E723="","",IFERROR(VLOOKUP(E723,LISTAS!$A$2:$C$65,2,FALSE),"Revisar"))</f>
        <v/>
      </c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2">
        <f>IF(COUNTA(B723:B723)+COUNTA(D723:E723)+COUNTA(G723:AJ723)=0,"",IF(COUNTBLANK(B723:B723)+COUNTBLANK(D723:E723)+COUNTBLANK(G723:G723)+COUNTBLANK(O723:AJ723)&gt;0,"Faltan "&amp;(COUNTBLANK(B723:B723)+COUNTBLANK(D723:E723)+COUNTBLANK(G723:G723)+COUNTBLANK(O723:AJ723))&amp;" datos obligatorios",IF(NOT(ISNUMBER(B723)),"Fecha no válida",IF(N(B723)&gt;TODAY(),"Fecha futura",IF(IFERROR(VLOOKUP(E723,LISTAS!$A$2:$C$65,3,FALSE),"")&lt;&gt;D723,"La subregión no corresponde al municipio",IF(IF(L723="",FALSE,OR(L723&lt;0,L723&gt;110)),"Edad fuera de rango",IF((V723="Sí")+(W723="Sí")+(X723="Sí")+(Y723="Sí")=0,"Marque al menos un tipo de violencia","OK")))))))</f>
        <v/>
      </c>
    </row>
    <row r="724">
      <c r="A724" s="12">
        <f>IF(OR(F724="",F724="Revisar",C724=""),"",F724&amp;"-"&amp;C724&amp;"-"&amp;TEXT(COUNTIFS($F$2:F724,F724,$C$2:C724,C724),"0000"))</f>
        <v/>
      </c>
      <c r="B724" s="13" t="n"/>
      <c r="C724" s="12">
        <f>IF(ISNUMBER(B724),YEAR(B724),"")</f>
        <v/>
      </c>
      <c r="D724" s="14" t="n"/>
      <c r="E724" s="14" t="n"/>
      <c r="F724" s="12">
        <f>IF(E724="","",IFERROR(VLOOKUP(E724,LISTAS!$A$2:$C$65,2,FALSE),"Revisar"))</f>
        <v/>
      </c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2">
        <f>IF(COUNTA(B724:B724)+COUNTA(D724:E724)+COUNTA(G724:AJ724)=0,"",IF(COUNTBLANK(B724:B724)+COUNTBLANK(D724:E724)+COUNTBLANK(G724:G724)+COUNTBLANK(O724:AJ724)&gt;0,"Faltan "&amp;(COUNTBLANK(B724:B724)+COUNTBLANK(D724:E724)+COUNTBLANK(G724:G724)+COUNTBLANK(O724:AJ724))&amp;" datos obligatorios",IF(NOT(ISNUMBER(B724)),"Fecha no válida",IF(N(B724)&gt;TODAY(),"Fecha futura",IF(IFERROR(VLOOKUP(E724,LISTAS!$A$2:$C$65,3,FALSE),"")&lt;&gt;D724,"La subregión no corresponde al municipio",IF(IF(L724="",FALSE,OR(L724&lt;0,L724&gt;110)),"Edad fuera de rango",IF((V724="Sí")+(W724="Sí")+(X724="Sí")+(Y724="Sí")=0,"Marque al menos un tipo de violencia","OK")))))))</f>
        <v/>
      </c>
    </row>
    <row r="725">
      <c r="A725" s="12">
        <f>IF(OR(F725="",F725="Revisar",C725=""),"",F725&amp;"-"&amp;C725&amp;"-"&amp;TEXT(COUNTIFS($F$2:F725,F725,$C$2:C725,C725),"0000"))</f>
        <v/>
      </c>
      <c r="B725" s="13" t="n"/>
      <c r="C725" s="12">
        <f>IF(ISNUMBER(B725),YEAR(B725),"")</f>
        <v/>
      </c>
      <c r="D725" s="14" t="n"/>
      <c r="E725" s="14" t="n"/>
      <c r="F725" s="12">
        <f>IF(E725="","",IFERROR(VLOOKUP(E725,LISTAS!$A$2:$C$65,2,FALSE),"Revisar"))</f>
        <v/>
      </c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2">
        <f>IF(COUNTA(B725:B725)+COUNTA(D725:E725)+COUNTA(G725:AJ725)=0,"",IF(COUNTBLANK(B725:B725)+COUNTBLANK(D725:E725)+COUNTBLANK(G725:G725)+COUNTBLANK(O725:AJ725)&gt;0,"Faltan "&amp;(COUNTBLANK(B725:B725)+COUNTBLANK(D725:E725)+COUNTBLANK(G725:G725)+COUNTBLANK(O725:AJ725))&amp;" datos obligatorios",IF(NOT(ISNUMBER(B725)),"Fecha no válida",IF(N(B725)&gt;TODAY(),"Fecha futura",IF(IFERROR(VLOOKUP(E725,LISTAS!$A$2:$C$65,3,FALSE),"")&lt;&gt;D725,"La subregión no corresponde al municipio",IF(IF(L725="",FALSE,OR(L725&lt;0,L725&gt;110)),"Edad fuera de rango",IF((V725="Sí")+(W725="Sí")+(X725="Sí")+(Y725="Sí")=0,"Marque al menos un tipo de violencia","OK")))))))</f>
        <v/>
      </c>
    </row>
    <row r="726">
      <c r="A726" s="12">
        <f>IF(OR(F726="",F726="Revisar",C726=""),"",F726&amp;"-"&amp;C726&amp;"-"&amp;TEXT(COUNTIFS($F$2:F726,F726,$C$2:C726,C726),"0000"))</f>
        <v/>
      </c>
      <c r="B726" s="13" t="n"/>
      <c r="C726" s="12">
        <f>IF(ISNUMBER(B726),YEAR(B726),"")</f>
        <v/>
      </c>
      <c r="D726" s="14" t="n"/>
      <c r="E726" s="14" t="n"/>
      <c r="F726" s="12">
        <f>IF(E726="","",IFERROR(VLOOKUP(E726,LISTAS!$A$2:$C$65,2,FALSE),"Revisar"))</f>
        <v/>
      </c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2">
        <f>IF(COUNTA(B726:B726)+COUNTA(D726:E726)+COUNTA(G726:AJ726)=0,"",IF(COUNTBLANK(B726:B726)+COUNTBLANK(D726:E726)+COUNTBLANK(G726:G726)+COUNTBLANK(O726:AJ726)&gt;0,"Faltan "&amp;(COUNTBLANK(B726:B726)+COUNTBLANK(D726:E726)+COUNTBLANK(G726:G726)+COUNTBLANK(O726:AJ726))&amp;" datos obligatorios",IF(NOT(ISNUMBER(B726)),"Fecha no válida",IF(N(B726)&gt;TODAY(),"Fecha futura",IF(IFERROR(VLOOKUP(E726,LISTAS!$A$2:$C$65,3,FALSE),"")&lt;&gt;D726,"La subregión no corresponde al municipio",IF(IF(L726="",FALSE,OR(L726&lt;0,L726&gt;110)),"Edad fuera de rango",IF((V726="Sí")+(W726="Sí")+(X726="Sí")+(Y726="Sí")=0,"Marque al menos un tipo de violencia","OK")))))))</f>
        <v/>
      </c>
    </row>
    <row r="727">
      <c r="A727" s="12">
        <f>IF(OR(F727="",F727="Revisar",C727=""),"",F727&amp;"-"&amp;C727&amp;"-"&amp;TEXT(COUNTIFS($F$2:F727,F727,$C$2:C727,C727),"0000"))</f>
        <v/>
      </c>
      <c r="B727" s="13" t="n"/>
      <c r="C727" s="12">
        <f>IF(ISNUMBER(B727),YEAR(B727),"")</f>
        <v/>
      </c>
      <c r="D727" s="14" t="n"/>
      <c r="E727" s="14" t="n"/>
      <c r="F727" s="12">
        <f>IF(E727="","",IFERROR(VLOOKUP(E727,LISTAS!$A$2:$C$65,2,FALSE),"Revisar"))</f>
        <v/>
      </c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2">
        <f>IF(COUNTA(B727:B727)+COUNTA(D727:E727)+COUNTA(G727:AJ727)=0,"",IF(COUNTBLANK(B727:B727)+COUNTBLANK(D727:E727)+COUNTBLANK(G727:G727)+COUNTBLANK(O727:AJ727)&gt;0,"Faltan "&amp;(COUNTBLANK(B727:B727)+COUNTBLANK(D727:E727)+COUNTBLANK(G727:G727)+COUNTBLANK(O727:AJ727))&amp;" datos obligatorios",IF(NOT(ISNUMBER(B727)),"Fecha no válida",IF(N(B727)&gt;TODAY(),"Fecha futura",IF(IFERROR(VLOOKUP(E727,LISTAS!$A$2:$C$65,3,FALSE),"")&lt;&gt;D727,"La subregión no corresponde al municipio",IF(IF(L727="",FALSE,OR(L727&lt;0,L727&gt;110)),"Edad fuera de rango",IF((V727="Sí")+(W727="Sí")+(X727="Sí")+(Y727="Sí")=0,"Marque al menos un tipo de violencia","OK")))))))</f>
        <v/>
      </c>
    </row>
    <row r="728">
      <c r="A728" s="12">
        <f>IF(OR(F728="",F728="Revisar",C728=""),"",F728&amp;"-"&amp;C728&amp;"-"&amp;TEXT(COUNTIFS($F$2:F728,F728,$C$2:C728,C728),"0000"))</f>
        <v/>
      </c>
      <c r="B728" s="13" t="n"/>
      <c r="C728" s="12">
        <f>IF(ISNUMBER(B728),YEAR(B728),"")</f>
        <v/>
      </c>
      <c r="D728" s="14" t="n"/>
      <c r="E728" s="14" t="n"/>
      <c r="F728" s="12">
        <f>IF(E728="","",IFERROR(VLOOKUP(E728,LISTAS!$A$2:$C$65,2,FALSE),"Revisar"))</f>
        <v/>
      </c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2">
        <f>IF(COUNTA(B728:B728)+COUNTA(D728:E728)+COUNTA(G728:AJ728)=0,"",IF(COUNTBLANK(B728:B728)+COUNTBLANK(D728:E728)+COUNTBLANK(G728:G728)+COUNTBLANK(O728:AJ728)&gt;0,"Faltan "&amp;(COUNTBLANK(B728:B728)+COUNTBLANK(D728:E728)+COUNTBLANK(G728:G728)+COUNTBLANK(O728:AJ728))&amp;" datos obligatorios",IF(NOT(ISNUMBER(B728)),"Fecha no válida",IF(N(B728)&gt;TODAY(),"Fecha futura",IF(IFERROR(VLOOKUP(E728,LISTAS!$A$2:$C$65,3,FALSE),"")&lt;&gt;D728,"La subregión no corresponde al municipio",IF(IF(L728="",FALSE,OR(L728&lt;0,L728&gt;110)),"Edad fuera de rango",IF((V728="Sí")+(W728="Sí")+(X728="Sí")+(Y728="Sí")=0,"Marque al menos un tipo de violencia","OK")))))))</f>
        <v/>
      </c>
    </row>
    <row r="729">
      <c r="A729" s="12">
        <f>IF(OR(F729="",F729="Revisar",C729=""),"",F729&amp;"-"&amp;C729&amp;"-"&amp;TEXT(COUNTIFS($F$2:F729,F729,$C$2:C729,C729),"0000"))</f>
        <v/>
      </c>
      <c r="B729" s="13" t="n"/>
      <c r="C729" s="12">
        <f>IF(ISNUMBER(B729),YEAR(B729),"")</f>
        <v/>
      </c>
      <c r="D729" s="14" t="n"/>
      <c r="E729" s="14" t="n"/>
      <c r="F729" s="12">
        <f>IF(E729="","",IFERROR(VLOOKUP(E729,LISTAS!$A$2:$C$65,2,FALSE),"Revisar"))</f>
        <v/>
      </c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2">
        <f>IF(COUNTA(B729:B729)+COUNTA(D729:E729)+COUNTA(G729:AJ729)=0,"",IF(COUNTBLANK(B729:B729)+COUNTBLANK(D729:E729)+COUNTBLANK(G729:G729)+COUNTBLANK(O729:AJ729)&gt;0,"Faltan "&amp;(COUNTBLANK(B729:B729)+COUNTBLANK(D729:E729)+COUNTBLANK(G729:G729)+COUNTBLANK(O729:AJ729))&amp;" datos obligatorios",IF(NOT(ISNUMBER(B729)),"Fecha no válida",IF(N(B729)&gt;TODAY(),"Fecha futura",IF(IFERROR(VLOOKUP(E729,LISTAS!$A$2:$C$65,3,FALSE),"")&lt;&gt;D729,"La subregión no corresponde al municipio",IF(IF(L729="",FALSE,OR(L729&lt;0,L729&gt;110)),"Edad fuera de rango",IF((V729="Sí")+(W729="Sí")+(X729="Sí")+(Y729="Sí")=0,"Marque al menos un tipo de violencia","OK")))))))</f>
        <v/>
      </c>
    </row>
    <row r="730">
      <c r="A730" s="12">
        <f>IF(OR(F730="",F730="Revisar",C730=""),"",F730&amp;"-"&amp;C730&amp;"-"&amp;TEXT(COUNTIFS($F$2:F730,F730,$C$2:C730,C730),"0000"))</f>
        <v/>
      </c>
      <c r="B730" s="13" t="n"/>
      <c r="C730" s="12">
        <f>IF(ISNUMBER(B730),YEAR(B730),"")</f>
        <v/>
      </c>
      <c r="D730" s="14" t="n"/>
      <c r="E730" s="14" t="n"/>
      <c r="F730" s="12">
        <f>IF(E730="","",IFERROR(VLOOKUP(E730,LISTAS!$A$2:$C$65,2,FALSE),"Revisar"))</f>
        <v/>
      </c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2">
        <f>IF(COUNTA(B730:B730)+COUNTA(D730:E730)+COUNTA(G730:AJ730)=0,"",IF(COUNTBLANK(B730:B730)+COUNTBLANK(D730:E730)+COUNTBLANK(G730:G730)+COUNTBLANK(O730:AJ730)&gt;0,"Faltan "&amp;(COUNTBLANK(B730:B730)+COUNTBLANK(D730:E730)+COUNTBLANK(G730:G730)+COUNTBLANK(O730:AJ730))&amp;" datos obligatorios",IF(NOT(ISNUMBER(B730)),"Fecha no válida",IF(N(B730)&gt;TODAY(),"Fecha futura",IF(IFERROR(VLOOKUP(E730,LISTAS!$A$2:$C$65,3,FALSE),"")&lt;&gt;D730,"La subregión no corresponde al municipio",IF(IF(L730="",FALSE,OR(L730&lt;0,L730&gt;110)),"Edad fuera de rango",IF((V730="Sí")+(W730="Sí")+(X730="Sí")+(Y730="Sí")=0,"Marque al menos un tipo de violencia","OK")))))))</f>
        <v/>
      </c>
    </row>
    <row r="731">
      <c r="A731" s="12">
        <f>IF(OR(F731="",F731="Revisar",C731=""),"",F731&amp;"-"&amp;C731&amp;"-"&amp;TEXT(COUNTIFS($F$2:F731,F731,$C$2:C731,C731),"0000"))</f>
        <v/>
      </c>
      <c r="B731" s="13" t="n"/>
      <c r="C731" s="12">
        <f>IF(ISNUMBER(B731),YEAR(B731),"")</f>
        <v/>
      </c>
      <c r="D731" s="14" t="n"/>
      <c r="E731" s="14" t="n"/>
      <c r="F731" s="12">
        <f>IF(E731="","",IFERROR(VLOOKUP(E731,LISTAS!$A$2:$C$65,2,FALSE),"Revisar"))</f>
        <v/>
      </c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2">
        <f>IF(COUNTA(B731:B731)+COUNTA(D731:E731)+COUNTA(G731:AJ731)=0,"",IF(COUNTBLANK(B731:B731)+COUNTBLANK(D731:E731)+COUNTBLANK(G731:G731)+COUNTBLANK(O731:AJ731)&gt;0,"Faltan "&amp;(COUNTBLANK(B731:B731)+COUNTBLANK(D731:E731)+COUNTBLANK(G731:G731)+COUNTBLANK(O731:AJ731))&amp;" datos obligatorios",IF(NOT(ISNUMBER(B731)),"Fecha no válida",IF(N(B731)&gt;TODAY(),"Fecha futura",IF(IFERROR(VLOOKUP(E731,LISTAS!$A$2:$C$65,3,FALSE),"")&lt;&gt;D731,"La subregión no corresponde al municipio",IF(IF(L731="",FALSE,OR(L731&lt;0,L731&gt;110)),"Edad fuera de rango",IF((V731="Sí")+(W731="Sí")+(X731="Sí")+(Y731="Sí")=0,"Marque al menos un tipo de violencia","OK")))))))</f>
        <v/>
      </c>
    </row>
    <row r="732">
      <c r="A732" s="12">
        <f>IF(OR(F732="",F732="Revisar",C732=""),"",F732&amp;"-"&amp;C732&amp;"-"&amp;TEXT(COUNTIFS($F$2:F732,F732,$C$2:C732,C732),"0000"))</f>
        <v/>
      </c>
      <c r="B732" s="13" t="n"/>
      <c r="C732" s="12">
        <f>IF(ISNUMBER(B732),YEAR(B732),"")</f>
        <v/>
      </c>
      <c r="D732" s="14" t="n"/>
      <c r="E732" s="14" t="n"/>
      <c r="F732" s="12">
        <f>IF(E732="","",IFERROR(VLOOKUP(E732,LISTAS!$A$2:$C$65,2,FALSE),"Revisar"))</f>
        <v/>
      </c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2">
        <f>IF(COUNTA(B732:B732)+COUNTA(D732:E732)+COUNTA(G732:AJ732)=0,"",IF(COUNTBLANK(B732:B732)+COUNTBLANK(D732:E732)+COUNTBLANK(G732:G732)+COUNTBLANK(O732:AJ732)&gt;0,"Faltan "&amp;(COUNTBLANK(B732:B732)+COUNTBLANK(D732:E732)+COUNTBLANK(G732:G732)+COUNTBLANK(O732:AJ732))&amp;" datos obligatorios",IF(NOT(ISNUMBER(B732)),"Fecha no válida",IF(N(B732)&gt;TODAY(),"Fecha futura",IF(IFERROR(VLOOKUP(E732,LISTAS!$A$2:$C$65,3,FALSE),"")&lt;&gt;D732,"La subregión no corresponde al municipio",IF(IF(L732="",FALSE,OR(L732&lt;0,L732&gt;110)),"Edad fuera de rango",IF((V732="Sí")+(W732="Sí")+(X732="Sí")+(Y732="Sí")=0,"Marque al menos un tipo de violencia","OK")))))))</f>
        <v/>
      </c>
    </row>
    <row r="733">
      <c r="A733" s="12">
        <f>IF(OR(F733="",F733="Revisar",C733=""),"",F733&amp;"-"&amp;C733&amp;"-"&amp;TEXT(COUNTIFS($F$2:F733,F733,$C$2:C733,C733),"0000"))</f>
        <v/>
      </c>
      <c r="B733" s="13" t="n"/>
      <c r="C733" s="12">
        <f>IF(ISNUMBER(B733),YEAR(B733),"")</f>
        <v/>
      </c>
      <c r="D733" s="14" t="n"/>
      <c r="E733" s="14" t="n"/>
      <c r="F733" s="12">
        <f>IF(E733="","",IFERROR(VLOOKUP(E733,LISTAS!$A$2:$C$65,2,FALSE),"Revisar"))</f>
        <v/>
      </c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2">
        <f>IF(COUNTA(B733:B733)+COUNTA(D733:E733)+COUNTA(G733:AJ733)=0,"",IF(COUNTBLANK(B733:B733)+COUNTBLANK(D733:E733)+COUNTBLANK(G733:G733)+COUNTBLANK(O733:AJ733)&gt;0,"Faltan "&amp;(COUNTBLANK(B733:B733)+COUNTBLANK(D733:E733)+COUNTBLANK(G733:G733)+COUNTBLANK(O733:AJ733))&amp;" datos obligatorios",IF(NOT(ISNUMBER(B733)),"Fecha no válida",IF(N(B733)&gt;TODAY(),"Fecha futura",IF(IFERROR(VLOOKUP(E733,LISTAS!$A$2:$C$65,3,FALSE),"")&lt;&gt;D733,"La subregión no corresponde al municipio",IF(IF(L733="",FALSE,OR(L733&lt;0,L733&gt;110)),"Edad fuera de rango",IF((V733="Sí")+(W733="Sí")+(X733="Sí")+(Y733="Sí")=0,"Marque al menos un tipo de violencia","OK")))))))</f>
        <v/>
      </c>
    </row>
    <row r="734">
      <c r="A734" s="12">
        <f>IF(OR(F734="",F734="Revisar",C734=""),"",F734&amp;"-"&amp;C734&amp;"-"&amp;TEXT(COUNTIFS($F$2:F734,F734,$C$2:C734,C734),"0000"))</f>
        <v/>
      </c>
      <c r="B734" s="13" t="n"/>
      <c r="C734" s="12">
        <f>IF(ISNUMBER(B734),YEAR(B734),"")</f>
        <v/>
      </c>
      <c r="D734" s="14" t="n"/>
      <c r="E734" s="14" t="n"/>
      <c r="F734" s="12">
        <f>IF(E734="","",IFERROR(VLOOKUP(E734,LISTAS!$A$2:$C$65,2,FALSE),"Revisar"))</f>
        <v/>
      </c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2">
        <f>IF(COUNTA(B734:B734)+COUNTA(D734:E734)+COUNTA(G734:AJ734)=0,"",IF(COUNTBLANK(B734:B734)+COUNTBLANK(D734:E734)+COUNTBLANK(G734:G734)+COUNTBLANK(O734:AJ734)&gt;0,"Faltan "&amp;(COUNTBLANK(B734:B734)+COUNTBLANK(D734:E734)+COUNTBLANK(G734:G734)+COUNTBLANK(O734:AJ734))&amp;" datos obligatorios",IF(NOT(ISNUMBER(B734)),"Fecha no válida",IF(N(B734)&gt;TODAY(),"Fecha futura",IF(IFERROR(VLOOKUP(E734,LISTAS!$A$2:$C$65,3,FALSE),"")&lt;&gt;D734,"La subregión no corresponde al municipio",IF(IF(L734="",FALSE,OR(L734&lt;0,L734&gt;110)),"Edad fuera de rango",IF((V734="Sí")+(W734="Sí")+(X734="Sí")+(Y734="Sí")=0,"Marque al menos un tipo de violencia","OK")))))))</f>
        <v/>
      </c>
    </row>
    <row r="735">
      <c r="A735" s="12">
        <f>IF(OR(F735="",F735="Revisar",C735=""),"",F735&amp;"-"&amp;C735&amp;"-"&amp;TEXT(COUNTIFS($F$2:F735,F735,$C$2:C735,C735),"0000"))</f>
        <v/>
      </c>
      <c r="B735" s="13" t="n"/>
      <c r="C735" s="12">
        <f>IF(ISNUMBER(B735),YEAR(B735),"")</f>
        <v/>
      </c>
      <c r="D735" s="14" t="n"/>
      <c r="E735" s="14" t="n"/>
      <c r="F735" s="12">
        <f>IF(E735="","",IFERROR(VLOOKUP(E735,LISTAS!$A$2:$C$65,2,FALSE),"Revisar"))</f>
        <v/>
      </c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2">
        <f>IF(COUNTA(B735:B735)+COUNTA(D735:E735)+COUNTA(G735:AJ735)=0,"",IF(COUNTBLANK(B735:B735)+COUNTBLANK(D735:E735)+COUNTBLANK(G735:G735)+COUNTBLANK(O735:AJ735)&gt;0,"Faltan "&amp;(COUNTBLANK(B735:B735)+COUNTBLANK(D735:E735)+COUNTBLANK(G735:G735)+COUNTBLANK(O735:AJ735))&amp;" datos obligatorios",IF(NOT(ISNUMBER(B735)),"Fecha no válida",IF(N(B735)&gt;TODAY(),"Fecha futura",IF(IFERROR(VLOOKUP(E735,LISTAS!$A$2:$C$65,3,FALSE),"")&lt;&gt;D735,"La subregión no corresponde al municipio",IF(IF(L735="",FALSE,OR(L735&lt;0,L735&gt;110)),"Edad fuera de rango",IF((V735="Sí")+(W735="Sí")+(X735="Sí")+(Y735="Sí")=0,"Marque al menos un tipo de violencia","OK")))))))</f>
        <v/>
      </c>
    </row>
    <row r="736">
      <c r="A736" s="12">
        <f>IF(OR(F736="",F736="Revisar",C736=""),"",F736&amp;"-"&amp;C736&amp;"-"&amp;TEXT(COUNTIFS($F$2:F736,F736,$C$2:C736,C736),"0000"))</f>
        <v/>
      </c>
      <c r="B736" s="13" t="n"/>
      <c r="C736" s="12">
        <f>IF(ISNUMBER(B736),YEAR(B736),"")</f>
        <v/>
      </c>
      <c r="D736" s="14" t="n"/>
      <c r="E736" s="14" t="n"/>
      <c r="F736" s="12">
        <f>IF(E736="","",IFERROR(VLOOKUP(E736,LISTAS!$A$2:$C$65,2,FALSE),"Revisar"))</f>
        <v/>
      </c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2">
        <f>IF(COUNTA(B736:B736)+COUNTA(D736:E736)+COUNTA(G736:AJ736)=0,"",IF(COUNTBLANK(B736:B736)+COUNTBLANK(D736:E736)+COUNTBLANK(G736:G736)+COUNTBLANK(O736:AJ736)&gt;0,"Faltan "&amp;(COUNTBLANK(B736:B736)+COUNTBLANK(D736:E736)+COUNTBLANK(G736:G736)+COUNTBLANK(O736:AJ736))&amp;" datos obligatorios",IF(NOT(ISNUMBER(B736)),"Fecha no válida",IF(N(B736)&gt;TODAY(),"Fecha futura",IF(IFERROR(VLOOKUP(E736,LISTAS!$A$2:$C$65,3,FALSE),"")&lt;&gt;D736,"La subregión no corresponde al municipio",IF(IF(L736="",FALSE,OR(L736&lt;0,L736&gt;110)),"Edad fuera de rango",IF((V736="Sí")+(W736="Sí")+(X736="Sí")+(Y736="Sí")=0,"Marque al menos un tipo de violencia","OK")))))))</f>
        <v/>
      </c>
    </row>
    <row r="737">
      <c r="A737" s="12">
        <f>IF(OR(F737="",F737="Revisar",C737=""),"",F737&amp;"-"&amp;C737&amp;"-"&amp;TEXT(COUNTIFS($F$2:F737,F737,$C$2:C737,C737),"0000"))</f>
        <v/>
      </c>
      <c r="B737" s="13" t="n"/>
      <c r="C737" s="12">
        <f>IF(ISNUMBER(B737),YEAR(B737),"")</f>
        <v/>
      </c>
      <c r="D737" s="14" t="n"/>
      <c r="E737" s="14" t="n"/>
      <c r="F737" s="12">
        <f>IF(E737="","",IFERROR(VLOOKUP(E737,LISTAS!$A$2:$C$65,2,FALSE),"Revisar"))</f>
        <v/>
      </c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2">
        <f>IF(COUNTA(B737:B737)+COUNTA(D737:E737)+COUNTA(G737:AJ737)=0,"",IF(COUNTBLANK(B737:B737)+COUNTBLANK(D737:E737)+COUNTBLANK(G737:G737)+COUNTBLANK(O737:AJ737)&gt;0,"Faltan "&amp;(COUNTBLANK(B737:B737)+COUNTBLANK(D737:E737)+COUNTBLANK(G737:G737)+COUNTBLANK(O737:AJ737))&amp;" datos obligatorios",IF(NOT(ISNUMBER(B737)),"Fecha no válida",IF(N(B737)&gt;TODAY(),"Fecha futura",IF(IFERROR(VLOOKUP(E737,LISTAS!$A$2:$C$65,3,FALSE),"")&lt;&gt;D737,"La subregión no corresponde al municipio",IF(IF(L737="",FALSE,OR(L737&lt;0,L737&gt;110)),"Edad fuera de rango",IF((V737="Sí")+(W737="Sí")+(X737="Sí")+(Y737="Sí")=0,"Marque al menos un tipo de violencia","OK")))))))</f>
        <v/>
      </c>
    </row>
    <row r="738">
      <c r="A738" s="12">
        <f>IF(OR(F738="",F738="Revisar",C738=""),"",F738&amp;"-"&amp;C738&amp;"-"&amp;TEXT(COUNTIFS($F$2:F738,F738,$C$2:C738,C738),"0000"))</f>
        <v/>
      </c>
      <c r="B738" s="13" t="n"/>
      <c r="C738" s="12">
        <f>IF(ISNUMBER(B738),YEAR(B738),"")</f>
        <v/>
      </c>
      <c r="D738" s="14" t="n"/>
      <c r="E738" s="14" t="n"/>
      <c r="F738" s="12">
        <f>IF(E738="","",IFERROR(VLOOKUP(E738,LISTAS!$A$2:$C$65,2,FALSE),"Revisar"))</f>
        <v/>
      </c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2">
        <f>IF(COUNTA(B738:B738)+COUNTA(D738:E738)+COUNTA(G738:AJ738)=0,"",IF(COUNTBLANK(B738:B738)+COUNTBLANK(D738:E738)+COUNTBLANK(G738:G738)+COUNTBLANK(O738:AJ738)&gt;0,"Faltan "&amp;(COUNTBLANK(B738:B738)+COUNTBLANK(D738:E738)+COUNTBLANK(G738:G738)+COUNTBLANK(O738:AJ738))&amp;" datos obligatorios",IF(NOT(ISNUMBER(B738)),"Fecha no válida",IF(N(B738)&gt;TODAY(),"Fecha futura",IF(IFERROR(VLOOKUP(E738,LISTAS!$A$2:$C$65,3,FALSE),"")&lt;&gt;D738,"La subregión no corresponde al municipio",IF(IF(L738="",FALSE,OR(L738&lt;0,L738&gt;110)),"Edad fuera de rango",IF((V738="Sí")+(W738="Sí")+(X738="Sí")+(Y738="Sí")=0,"Marque al menos un tipo de violencia","OK")))))))</f>
        <v/>
      </c>
    </row>
    <row r="739">
      <c r="A739" s="12">
        <f>IF(OR(F739="",F739="Revisar",C739=""),"",F739&amp;"-"&amp;C739&amp;"-"&amp;TEXT(COUNTIFS($F$2:F739,F739,$C$2:C739,C739),"0000"))</f>
        <v/>
      </c>
      <c r="B739" s="13" t="n"/>
      <c r="C739" s="12">
        <f>IF(ISNUMBER(B739),YEAR(B739),"")</f>
        <v/>
      </c>
      <c r="D739" s="14" t="n"/>
      <c r="E739" s="14" t="n"/>
      <c r="F739" s="12">
        <f>IF(E739="","",IFERROR(VLOOKUP(E739,LISTAS!$A$2:$C$65,2,FALSE),"Revisar"))</f>
        <v/>
      </c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2">
        <f>IF(COUNTA(B739:B739)+COUNTA(D739:E739)+COUNTA(G739:AJ739)=0,"",IF(COUNTBLANK(B739:B739)+COUNTBLANK(D739:E739)+COUNTBLANK(G739:G739)+COUNTBLANK(O739:AJ739)&gt;0,"Faltan "&amp;(COUNTBLANK(B739:B739)+COUNTBLANK(D739:E739)+COUNTBLANK(G739:G739)+COUNTBLANK(O739:AJ739))&amp;" datos obligatorios",IF(NOT(ISNUMBER(B739)),"Fecha no válida",IF(N(B739)&gt;TODAY(),"Fecha futura",IF(IFERROR(VLOOKUP(E739,LISTAS!$A$2:$C$65,3,FALSE),"")&lt;&gt;D739,"La subregión no corresponde al municipio",IF(IF(L739="",FALSE,OR(L739&lt;0,L739&gt;110)),"Edad fuera de rango",IF((V739="Sí")+(W739="Sí")+(X739="Sí")+(Y739="Sí")=0,"Marque al menos un tipo de violencia","OK")))))))</f>
        <v/>
      </c>
    </row>
    <row r="740">
      <c r="A740" s="12">
        <f>IF(OR(F740="",F740="Revisar",C740=""),"",F740&amp;"-"&amp;C740&amp;"-"&amp;TEXT(COUNTIFS($F$2:F740,F740,$C$2:C740,C740),"0000"))</f>
        <v/>
      </c>
      <c r="B740" s="13" t="n"/>
      <c r="C740" s="12">
        <f>IF(ISNUMBER(B740),YEAR(B740),"")</f>
        <v/>
      </c>
      <c r="D740" s="14" t="n"/>
      <c r="E740" s="14" t="n"/>
      <c r="F740" s="12">
        <f>IF(E740="","",IFERROR(VLOOKUP(E740,LISTAS!$A$2:$C$65,2,FALSE),"Revisar"))</f>
        <v/>
      </c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2">
        <f>IF(COUNTA(B740:B740)+COUNTA(D740:E740)+COUNTA(G740:AJ740)=0,"",IF(COUNTBLANK(B740:B740)+COUNTBLANK(D740:E740)+COUNTBLANK(G740:G740)+COUNTBLANK(O740:AJ740)&gt;0,"Faltan "&amp;(COUNTBLANK(B740:B740)+COUNTBLANK(D740:E740)+COUNTBLANK(G740:G740)+COUNTBLANK(O740:AJ740))&amp;" datos obligatorios",IF(NOT(ISNUMBER(B740)),"Fecha no válida",IF(N(B740)&gt;TODAY(),"Fecha futura",IF(IFERROR(VLOOKUP(E740,LISTAS!$A$2:$C$65,3,FALSE),"")&lt;&gt;D740,"La subregión no corresponde al municipio",IF(IF(L740="",FALSE,OR(L740&lt;0,L740&gt;110)),"Edad fuera de rango",IF((V740="Sí")+(W740="Sí")+(X740="Sí")+(Y740="Sí")=0,"Marque al menos un tipo de violencia","OK")))))))</f>
        <v/>
      </c>
    </row>
    <row r="741">
      <c r="A741" s="12">
        <f>IF(OR(F741="",F741="Revisar",C741=""),"",F741&amp;"-"&amp;C741&amp;"-"&amp;TEXT(COUNTIFS($F$2:F741,F741,$C$2:C741,C741),"0000"))</f>
        <v/>
      </c>
      <c r="B741" s="13" t="n"/>
      <c r="C741" s="12">
        <f>IF(ISNUMBER(B741),YEAR(B741),"")</f>
        <v/>
      </c>
      <c r="D741" s="14" t="n"/>
      <c r="E741" s="14" t="n"/>
      <c r="F741" s="12">
        <f>IF(E741="","",IFERROR(VLOOKUP(E741,LISTAS!$A$2:$C$65,2,FALSE),"Revisar"))</f>
        <v/>
      </c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2">
        <f>IF(COUNTA(B741:B741)+COUNTA(D741:E741)+COUNTA(G741:AJ741)=0,"",IF(COUNTBLANK(B741:B741)+COUNTBLANK(D741:E741)+COUNTBLANK(G741:G741)+COUNTBLANK(O741:AJ741)&gt;0,"Faltan "&amp;(COUNTBLANK(B741:B741)+COUNTBLANK(D741:E741)+COUNTBLANK(G741:G741)+COUNTBLANK(O741:AJ741))&amp;" datos obligatorios",IF(NOT(ISNUMBER(B741)),"Fecha no válida",IF(N(B741)&gt;TODAY(),"Fecha futura",IF(IFERROR(VLOOKUP(E741,LISTAS!$A$2:$C$65,3,FALSE),"")&lt;&gt;D741,"La subregión no corresponde al municipio",IF(IF(L741="",FALSE,OR(L741&lt;0,L741&gt;110)),"Edad fuera de rango",IF((V741="Sí")+(W741="Sí")+(X741="Sí")+(Y741="Sí")=0,"Marque al menos un tipo de violencia","OK")))))))</f>
        <v/>
      </c>
    </row>
    <row r="742">
      <c r="A742" s="12">
        <f>IF(OR(F742="",F742="Revisar",C742=""),"",F742&amp;"-"&amp;C742&amp;"-"&amp;TEXT(COUNTIFS($F$2:F742,F742,$C$2:C742,C742),"0000"))</f>
        <v/>
      </c>
      <c r="B742" s="13" t="n"/>
      <c r="C742" s="12">
        <f>IF(ISNUMBER(B742),YEAR(B742),"")</f>
        <v/>
      </c>
      <c r="D742" s="14" t="n"/>
      <c r="E742" s="14" t="n"/>
      <c r="F742" s="12">
        <f>IF(E742="","",IFERROR(VLOOKUP(E742,LISTAS!$A$2:$C$65,2,FALSE),"Revisar"))</f>
        <v/>
      </c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2">
        <f>IF(COUNTA(B742:B742)+COUNTA(D742:E742)+COUNTA(G742:AJ742)=0,"",IF(COUNTBLANK(B742:B742)+COUNTBLANK(D742:E742)+COUNTBLANK(G742:G742)+COUNTBLANK(O742:AJ742)&gt;0,"Faltan "&amp;(COUNTBLANK(B742:B742)+COUNTBLANK(D742:E742)+COUNTBLANK(G742:G742)+COUNTBLANK(O742:AJ742))&amp;" datos obligatorios",IF(NOT(ISNUMBER(B742)),"Fecha no válida",IF(N(B742)&gt;TODAY(),"Fecha futura",IF(IFERROR(VLOOKUP(E742,LISTAS!$A$2:$C$65,3,FALSE),"")&lt;&gt;D742,"La subregión no corresponde al municipio",IF(IF(L742="",FALSE,OR(L742&lt;0,L742&gt;110)),"Edad fuera de rango",IF((V742="Sí")+(W742="Sí")+(X742="Sí")+(Y742="Sí")=0,"Marque al menos un tipo de violencia","OK")))))))</f>
        <v/>
      </c>
    </row>
    <row r="743">
      <c r="A743" s="12">
        <f>IF(OR(F743="",F743="Revisar",C743=""),"",F743&amp;"-"&amp;C743&amp;"-"&amp;TEXT(COUNTIFS($F$2:F743,F743,$C$2:C743,C743),"0000"))</f>
        <v/>
      </c>
      <c r="B743" s="13" t="n"/>
      <c r="C743" s="12">
        <f>IF(ISNUMBER(B743),YEAR(B743),"")</f>
        <v/>
      </c>
      <c r="D743" s="14" t="n"/>
      <c r="E743" s="14" t="n"/>
      <c r="F743" s="12">
        <f>IF(E743="","",IFERROR(VLOOKUP(E743,LISTAS!$A$2:$C$65,2,FALSE),"Revisar"))</f>
        <v/>
      </c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2">
        <f>IF(COUNTA(B743:B743)+COUNTA(D743:E743)+COUNTA(G743:AJ743)=0,"",IF(COUNTBLANK(B743:B743)+COUNTBLANK(D743:E743)+COUNTBLANK(G743:G743)+COUNTBLANK(O743:AJ743)&gt;0,"Faltan "&amp;(COUNTBLANK(B743:B743)+COUNTBLANK(D743:E743)+COUNTBLANK(G743:G743)+COUNTBLANK(O743:AJ743))&amp;" datos obligatorios",IF(NOT(ISNUMBER(B743)),"Fecha no válida",IF(N(B743)&gt;TODAY(),"Fecha futura",IF(IFERROR(VLOOKUP(E743,LISTAS!$A$2:$C$65,3,FALSE),"")&lt;&gt;D743,"La subregión no corresponde al municipio",IF(IF(L743="",FALSE,OR(L743&lt;0,L743&gt;110)),"Edad fuera de rango",IF((V743="Sí")+(W743="Sí")+(X743="Sí")+(Y743="Sí")=0,"Marque al menos un tipo de violencia","OK")))))))</f>
        <v/>
      </c>
    </row>
    <row r="744">
      <c r="A744" s="12">
        <f>IF(OR(F744="",F744="Revisar",C744=""),"",F744&amp;"-"&amp;C744&amp;"-"&amp;TEXT(COUNTIFS($F$2:F744,F744,$C$2:C744,C744),"0000"))</f>
        <v/>
      </c>
      <c r="B744" s="13" t="n"/>
      <c r="C744" s="12">
        <f>IF(ISNUMBER(B744),YEAR(B744),"")</f>
        <v/>
      </c>
      <c r="D744" s="14" t="n"/>
      <c r="E744" s="14" t="n"/>
      <c r="F744" s="12">
        <f>IF(E744="","",IFERROR(VLOOKUP(E744,LISTAS!$A$2:$C$65,2,FALSE),"Revisar"))</f>
        <v/>
      </c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2">
        <f>IF(COUNTA(B744:B744)+COUNTA(D744:E744)+COUNTA(G744:AJ744)=0,"",IF(COUNTBLANK(B744:B744)+COUNTBLANK(D744:E744)+COUNTBLANK(G744:G744)+COUNTBLANK(O744:AJ744)&gt;0,"Faltan "&amp;(COUNTBLANK(B744:B744)+COUNTBLANK(D744:E744)+COUNTBLANK(G744:G744)+COUNTBLANK(O744:AJ744))&amp;" datos obligatorios",IF(NOT(ISNUMBER(B744)),"Fecha no válida",IF(N(B744)&gt;TODAY(),"Fecha futura",IF(IFERROR(VLOOKUP(E744,LISTAS!$A$2:$C$65,3,FALSE),"")&lt;&gt;D744,"La subregión no corresponde al municipio",IF(IF(L744="",FALSE,OR(L744&lt;0,L744&gt;110)),"Edad fuera de rango",IF((V744="Sí")+(W744="Sí")+(X744="Sí")+(Y744="Sí")=0,"Marque al menos un tipo de violencia","OK")))))))</f>
        <v/>
      </c>
    </row>
    <row r="745">
      <c r="A745" s="12">
        <f>IF(OR(F745="",F745="Revisar",C745=""),"",F745&amp;"-"&amp;C745&amp;"-"&amp;TEXT(COUNTIFS($F$2:F745,F745,$C$2:C745,C745),"0000"))</f>
        <v/>
      </c>
      <c r="B745" s="13" t="n"/>
      <c r="C745" s="12">
        <f>IF(ISNUMBER(B745),YEAR(B745),"")</f>
        <v/>
      </c>
      <c r="D745" s="14" t="n"/>
      <c r="E745" s="14" t="n"/>
      <c r="F745" s="12">
        <f>IF(E745="","",IFERROR(VLOOKUP(E745,LISTAS!$A$2:$C$65,2,FALSE),"Revisar"))</f>
        <v/>
      </c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2">
        <f>IF(COUNTA(B745:B745)+COUNTA(D745:E745)+COUNTA(G745:AJ745)=0,"",IF(COUNTBLANK(B745:B745)+COUNTBLANK(D745:E745)+COUNTBLANK(G745:G745)+COUNTBLANK(O745:AJ745)&gt;0,"Faltan "&amp;(COUNTBLANK(B745:B745)+COUNTBLANK(D745:E745)+COUNTBLANK(G745:G745)+COUNTBLANK(O745:AJ745))&amp;" datos obligatorios",IF(NOT(ISNUMBER(B745)),"Fecha no válida",IF(N(B745)&gt;TODAY(),"Fecha futura",IF(IFERROR(VLOOKUP(E745,LISTAS!$A$2:$C$65,3,FALSE),"")&lt;&gt;D745,"La subregión no corresponde al municipio",IF(IF(L745="",FALSE,OR(L745&lt;0,L745&gt;110)),"Edad fuera de rango",IF((V745="Sí")+(W745="Sí")+(X745="Sí")+(Y745="Sí")=0,"Marque al menos un tipo de violencia","OK")))))))</f>
        <v/>
      </c>
    </row>
    <row r="746">
      <c r="A746" s="12">
        <f>IF(OR(F746="",F746="Revisar",C746=""),"",F746&amp;"-"&amp;C746&amp;"-"&amp;TEXT(COUNTIFS($F$2:F746,F746,$C$2:C746,C746),"0000"))</f>
        <v/>
      </c>
      <c r="B746" s="13" t="n"/>
      <c r="C746" s="12">
        <f>IF(ISNUMBER(B746),YEAR(B746),"")</f>
        <v/>
      </c>
      <c r="D746" s="14" t="n"/>
      <c r="E746" s="14" t="n"/>
      <c r="F746" s="12">
        <f>IF(E746="","",IFERROR(VLOOKUP(E746,LISTAS!$A$2:$C$65,2,FALSE),"Revisar"))</f>
        <v/>
      </c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2">
        <f>IF(COUNTA(B746:B746)+COUNTA(D746:E746)+COUNTA(G746:AJ746)=0,"",IF(COUNTBLANK(B746:B746)+COUNTBLANK(D746:E746)+COUNTBLANK(G746:G746)+COUNTBLANK(O746:AJ746)&gt;0,"Faltan "&amp;(COUNTBLANK(B746:B746)+COUNTBLANK(D746:E746)+COUNTBLANK(G746:G746)+COUNTBLANK(O746:AJ746))&amp;" datos obligatorios",IF(NOT(ISNUMBER(B746)),"Fecha no válida",IF(N(B746)&gt;TODAY(),"Fecha futura",IF(IFERROR(VLOOKUP(E746,LISTAS!$A$2:$C$65,3,FALSE),"")&lt;&gt;D746,"La subregión no corresponde al municipio",IF(IF(L746="",FALSE,OR(L746&lt;0,L746&gt;110)),"Edad fuera de rango",IF((V746="Sí")+(W746="Sí")+(X746="Sí")+(Y746="Sí")=0,"Marque al menos un tipo de violencia","OK")))))))</f>
        <v/>
      </c>
    </row>
    <row r="747">
      <c r="A747" s="12">
        <f>IF(OR(F747="",F747="Revisar",C747=""),"",F747&amp;"-"&amp;C747&amp;"-"&amp;TEXT(COUNTIFS($F$2:F747,F747,$C$2:C747,C747),"0000"))</f>
        <v/>
      </c>
      <c r="B747" s="13" t="n"/>
      <c r="C747" s="12">
        <f>IF(ISNUMBER(B747),YEAR(B747),"")</f>
        <v/>
      </c>
      <c r="D747" s="14" t="n"/>
      <c r="E747" s="14" t="n"/>
      <c r="F747" s="12">
        <f>IF(E747="","",IFERROR(VLOOKUP(E747,LISTAS!$A$2:$C$65,2,FALSE),"Revisar"))</f>
        <v/>
      </c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2">
        <f>IF(COUNTA(B747:B747)+COUNTA(D747:E747)+COUNTA(G747:AJ747)=0,"",IF(COUNTBLANK(B747:B747)+COUNTBLANK(D747:E747)+COUNTBLANK(G747:G747)+COUNTBLANK(O747:AJ747)&gt;0,"Faltan "&amp;(COUNTBLANK(B747:B747)+COUNTBLANK(D747:E747)+COUNTBLANK(G747:G747)+COUNTBLANK(O747:AJ747))&amp;" datos obligatorios",IF(NOT(ISNUMBER(B747)),"Fecha no válida",IF(N(B747)&gt;TODAY(),"Fecha futura",IF(IFERROR(VLOOKUP(E747,LISTAS!$A$2:$C$65,3,FALSE),"")&lt;&gt;D747,"La subregión no corresponde al municipio",IF(IF(L747="",FALSE,OR(L747&lt;0,L747&gt;110)),"Edad fuera de rango",IF((V747="Sí")+(W747="Sí")+(X747="Sí")+(Y747="Sí")=0,"Marque al menos un tipo de violencia","OK")))))))</f>
        <v/>
      </c>
    </row>
    <row r="748">
      <c r="A748" s="12">
        <f>IF(OR(F748="",F748="Revisar",C748=""),"",F748&amp;"-"&amp;C748&amp;"-"&amp;TEXT(COUNTIFS($F$2:F748,F748,$C$2:C748,C748),"0000"))</f>
        <v/>
      </c>
      <c r="B748" s="13" t="n"/>
      <c r="C748" s="12">
        <f>IF(ISNUMBER(B748),YEAR(B748),"")</f>
        <v/>
      </c>
      <c r="D748" s="14" t="n"/>
      <c r="E748" s="14" t="n"/>
      <c r="F748" s="12">
        <f>IF(E748="","",IFERROR(VLOOKUP(E748,LISTAS!$A$2:$C$65,2,FALSE),"Revisar"))</f>
        <v/>
      </c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2">
        <f>IF(COUNTA(B748:B748)+COUNTA(D748:E748)+COUNTA(G748:AJ748)=0,"",IF(COUNTBLANK(B748:B748)+COUNTBLANK(D748:E748)+COUNTBLANK(G748:G748)+COUNTBLANK(O748:AJ748)&gt;0,"Faltan "&amp;(COUNTBLANK(B748:B748)+COUNTBLANK(D748:E748)+COUNTBLANK(G748:G748)+COUNTBLANK(O748:AJ748))&amp;" datos obligatorios",IF(NOT(ISNUMBER(B748)),"Fecha no válida",IF(N(B748)&gt;TODAY(),"Fecha futura",IF(IFERROR(VLOOKUP(E748,LISTAS!$A$2:$C$65,3,FALSE),"")&lt;&gt;D748,"La subregión no corresponde al municipio",IF(IF(L748="",FALSE,OR(L748&lt;0,L748&gt;110)),"Edad fuera de rango",IF((V748="Sí")+(W748="Sí")+(X748="Sí")+(Y748="Sí")=0,"Marque al menos un tipo de violencia","OK")))))))</f>
        <v/>
      </c>
    </row>
    <row r="749">
      <c r="A749" s="12">
        <f>IF(OR(F749="",F749="Revisar",C749=""),"",F749&amp;"-"&amp;C749&amp;"-"&amp;TEXT(COUNTIFS($F$2:F749,F749,$C$2:C749,C749),"0000"))</f>
        <v/>
      </c>
      <c r="B749" s="13" t="n"/>
      <c r="C749" s="12">
        <f>IF(ISNUMBER(B749),YEAR(B749),"")</f>
        <v/>
      </c>
      <c r="D749" s="14" t="n"/>
      <c r="E749" s="14" t="n"/>
      <c r="F749" s="12">
        <f>IF(E749="","",IFERROR(VLOOKUP(E749,LISTAS!$A$2:$C$65,2,FALSE),"Revisar"))</f>
        <v/>
      </c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2">
        <f>IF(COUNTA(B749:B749)+COUNTA(D749:E749)+COUNTA(G749:AJ749)=0,"",IF(COUNTBLANK(B749:B749)+COUNTBLANK(D749:E749)+COUNTBLANK(G749:G749)+COUNTBLANK(O749:AJ749)&gt;0,"Faltan "&amp;(COUNTBLANK(B749:B749)+COUNTBLANK(D749:E749)+COUNTBLANK(G749:G749)+COUNTBLANK(O749:AJ749))&amp;" datos obligatorios",IF(NOT(ISNUMBER(B749)),"Fecha no válida",IF(N(B749)&gt;TODAY(),"Fecha futura",IF(IFERROR(VLOOKUP(E749,LISTAS!$A$2:$C$65,3,FALSE),"")&lt;&gt;D749,"La subregión no corresponde al municipio",IF(IF(L749="",FALSE,OR(L749&lt;0,L749&gt;110)),"Edad fuera de rango",IF((V749="Sí")+(W749="Sí")+(X749="Sí")+(Y749="Sí")=0,"Marque al menos un tipo de violencia","OK")))))))</f>
        <v/>
      </c>
    </row>
    <row r="750">
      <c r="A750" s="12">
        <f>IF(OR(F750="",F750="Revisar",C750=""),"",F750&amp;"-"&amp;C750&amp;"-"&amp;TEXT(COUNTIFS($F$2:F750,F750,$C$2:C750,C750),"0000"))</f>
        <v/>
      </c>
      <c r="B750" s="13" t="n"/>
      <c r="C750" s="12">
        <f>IF(ISNUMBER(B750),YEAR(B750),"")</f>
        <v/>
      </c>
      <c r="D750" s="14" t="n"/>
      <c r="E750" s="14" t="n"/>
      <c r="F750" s="12">
        <f>IF(E750="","",IFERROR(VLOOKUP(E750,LISTAS!$A$2:$C$65,2,FALSE),"Revisar"))</f>
        <v/>
      </c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2">
        <f>IF(COUNTA(B750:B750)+COUNTA(D750:E750)+COUNTA(G750:AJ750)=0,"",IF(COUNTBLANK(B750:B750)+COUNTBLANK(D750:E750)+COUNTBLANK(G750:G750)+COUNTBLANK(O750:AJ750)&gt;0,"Faltan "&amp;(COUNTBLANK(B750:B750)+COUNTBLANK(D750:E750)+COUNTBLANK(G750:G750)+COUNTBLANK(O750:AJ750))&amp;" datos obligatorios",IF(NOT(ISNUMBER(B750)),"Fecha no válida",IF(N(B750)&gt;TODAY(),"Fecha futura",IF(IFERROR(VLOOKUP(E750,LISTAS!$A$2:$C$65,3,FALSE),"")&lt;&gt;D750,"La subregión no corresponde al municipio",IF(IF(L750="",FALSE,OR(L750&lt;0,L750&gt;110)),"Edad fuera de rango",IF((V750="Sí")+(W750="Sí")+(X750="Sí")+(Y750="Sí")=0,"Marque al menos un tipo de violencia","OK")))))))</f>
        <v/>
      </c>
    </row>
    <row r="751">
      <c r="A751" s="12">
        <f>IF(OR(F751="",F751="Revisar",C751=""),"",F751&amp;"-"&amp;C751&amp;"-"&amp;TEXT(COUNTIFS($F$2:F751,F751,$C$2:C751,C751),"0000"))</f>
        <v/>
      </c>
      <c r="B751" s="13" t="n"/>
      <c r="C751" s="12">
        <f>IF(ISNUMBER(B751),YEAR(B751),"")</f>
        <v/>
      </c>
      <c r="D751" s="14" t="n"/>
      <c r="E751" s="14" t="n"/>
      <c r="F751" s="12">
        <f>IF(E751="","",IFERROR(VLOOKUP(E751,LISTAS!$A$2:$C$65,2,FALSE),"Revisar"))</f>
        <v/>
      </c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2">
        <f>IF(COUNTA(B751:B751)+COUNTA(D751:E751)+COUNTA(G751:AJ751)=0,"",IF(COUNTBLANK(B751:B751)+COUNTBLANK(D751:E751)+COUNTBLANK(G751:G751)+COUNTBLANK(O751:AJ751)&gt;0,"Faltan "&amp;(COUNTBLANK(B751:B751)+COUNTBLANK(D751:E751)+COUNTBLANK(G751:G751)+COUNTBLANK(O751:AJ751))&amp;" datos obligatorios",IF(NOT(ISNUMBER(B751)),"Fecha no válida",IF(N(B751)&gt;TODAY(),"Fecha futura",IF(IFERROR(VLOOKUP(E751,LISTAS!$A$2:$C$65,3,FALSE),"")&lt;&gt;D751,"La subregión no corresponde al municipio",IF(IF(L751="",FALSE,OR(L751&lt;0,L751&gt;110)),"Edad fuera de rango",IF((V751="Sí")+(W751="Sí")+(X751="Sí")+(Y751="Sí")=0,"Marque al menos un tipo de violencia","OK")))))))</f>
        <v/>
      </c>
    </row>
    <row r="752">
      <c r="A752" s="12">
        <f>IF(OR(F752="",F752="Revisar",C752=""),"",F752&amp;"-"&amp;C752&amp;"-"&amp;TEXT(COUNTIFS($F$2:F752,F752,$C$2:C752,C752),"0000"))</f>
        <v/>
      </c>
      <c r="B752" s="13" t="n"/>
      <c r="C752" s="12">
        <f>IF(ISNUMBER(B752),YEAR(B752),"")</f>
        <v/>
      </c>
      <c r="D752" s="14" t="n"/>
      <c r="E752" s="14" t="n"/>
      <c r="F752" s="12">
        <f>IF(E752="","",IFERROR(VLOOKUP(E752,LISTAS!$A$2:$C$65,2,FALSE),"Revisar"))</f>
        <v/>
      </c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2">
        <f>IF(COUNTA(B752:B752)+COUNTA(D752:E752)+COUNTA(G752:AJ752)=0,"",IF(COUNTBLANK(B752:B752)+COUNTBLANK(D752:E752)+COUNTBLANK(G752:G752)+COUNTBLANK(O752:AJ752)&gt;0,"Faltan "&amp;(COUNTBLANK(B752:B752)+COUNTBLANK(D752:E752)+COUNTBLANK(G752:G752)+COUNTBLANK(O752:AJ752))&amp;" datos obligatorios",IF(NOT(ISNUMBER(B752)),"Fecha no válida",IF(N(B752)&gt;TODAY(),"Fecha futura",IF(IFERROR(VLOOKUP(E752,LISTAS!$A$2:$C$65,3,FALSE),"")&lt;&gt;D752,"La subregión no corresponde al municipio",IF(IF(L752="",FALSE,OR(L752&lt;0,L752&gt;110)),"Edad fuera de rango",IF((V752="Sí")+(W752="Sí")+(X752="Sí")+(Y752="Sí")=0,"Marque al menos un tipo de violencia","OK")))))))</f>
        <v/>
      </c>
    </row>
    <row r="753">
      <c r="A753" s="12">
        <f>IF(OR(F753="",F753="Revisar",C753=""),"",F753&amp;"-"&amp;C753&amp;"-"&amp;TEXT(COUNTIFS($F$2:F753,F753,$C$2:C753,C753),"0000"))</f>
        <v/>
      </c>
      <c r="B753" s="13" t="n"/>
      <c r="C753" s="12">
        <f>IF(ISNUMBER(B753),YEAR(B753),"")</f>
        <v/>
      </c>
      <c r="D753" s="14" t="n"/>
      <c r="E753" s="14" t="n"/>
      <c r="F753" s="12">
        <f>IF(E753="","",IFERROR(VLOOKUP(E753,LISTAS!$A$2:$C$65,2,FALSE),"Revisar"))</f>
        <v/>
      </c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2">
        <f>IF(COUNTA(B753:B753)+COUNTA(D753:E753)+COUNTA(G753:AJ753)=0,"",IF(COUNTBLANK(B753:B753)+COUNTBLANK(D753:E753)+COUNTBLANK(G753:G753)+COUNTBLANK(O753:AJ753)&gt;0,"Faltan "&amp;(COUNTBLANK(B753:B753)+COUNTBLANK(D753:E753)+COUNTBLANK(G753:G753)+COUNTBLANK(O753:AJ753))&amp;" datos obligatorios",IF(NOT(ISNUMBER(B753)),"Fecha no válida",IF(N(B753)&gt;TODAY(),"Fecha futura",IF(IFERROR(VLOOKUP(E753,LISTAS!$A$2:$C$65,3,FALSE),"")&lt;&gt;D753,"La subregión no corresponde al municipio",IF(IF(L753="",FALSE,OR(L753&lt;0,L753&gt;110)),"Edad fuera de rango",IF((V753="Sí")+(W753="Sí")+(X753="Sí")+(Y753="Sí")=0,"Marque al menos un tipo de violencia","OK")))))))</f>
        <v/>
      </c>
    </row>
    <row r="754">
      <c r="A754" s="12">
        <f>IF(OR(F754="",F754="Revisar",C754=""),"",F754&amp;"-"&amp;C754&amp;"-"&amp;TEXT(COUNTIFS($F$2:F754,F754,$C$2:C754,C754),"0000"))</f>
        <v/>
      </c>
      <c r="B754" s="13" t="n"/>
      <c r="C754" s="12">
        <f>IF(ISNUMBER(B754),YEAR(B754),"")</f>
        <v/>
      </c>
      <c r="D754" s="14" t="n"/>
      <c r="E754" s="14" t="n"/>
      <c r="F754" s="12">
        <f>IF(E754="","",IFERROR(VLOOKUP(E754,LISTAS!$A$2:$C$65,2,FALSE),"Revisar"))</f>
        <v/>
      </c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2">
        <f>IF(COUNTA(B754:B754)+COUNTA(D754:E754)+COUNTA(G754:AJ754)=0,"",IF(COUNTBLANK(B754:B754)+COUNTBLANK(D754:E754)+COUNTBLANK(G754:G754)+COUNTBLANK(O754:AJ754)&gt;0,"Faltan "&amp;(COUNTBLANK(B754:B754)+COUNTBLANK(D754:E754)+COUNTBLANK(G754:G754)+COUNTBLANK(O754:AJ754))&amp;" datos obligatorios",IF(NOT(ISNUMBER(B754)),"Fecha no válida",IF(N(B754)&gt;TODAY(),"Fecha futura",IF(IFERROR(VLOOKUP(E754,LISTAS!$A$2:$C$65,3,FALSE),"")&lt;&gt;D754,"La subregión no corresponde al municipio",IF(IF(L754="",FALSE,OR(L754&lt;0,L754&gt;110)),"Edad fuera de rango",IF((V754="Sí")+(W754="Sí")+(X754="Sí")+(Y754="Sí")=0,"Marque al menos un tipo de violencia","OK")))))))</f>
        <v/>
      </c>
    </row>
    <row r="755">
      <c r="A755" s="12">
        <f>IF(OR(F755="",F755="Revisar",C755=""),"",F755&amp;"-"&amp;C755&amp;"-"&amp;TEXT(COUNTIFS($F$2:F755,F755,$C$2:C755,C755),"0000"))</f>
        <v/>
      </c>
      <c r="B755" s="13" t="n"/>
      <c r="C755" s="12">
        <f>IF(ISNUMBER(B755),YEAR(B755),"")</f>
        <v/>
      </c>
      <c r="D755" s="14" t="n"/>
      <c r="E755" s="14" t="n"/>
      <c r="F755" s="12">
        <f>IF(E755="","",IFERROR(VLOOKUP(E755,LISTAS!$A$2:$C$65,2,FALSE),"Revisar"))</f>
        <v/>
      </c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2">
        <f>IF(COUNTA(B755:B755)+COUNTA(D755:E755)+COUNTA(G755:AJ755)=0,"",IF(COUNTBLANK(B755:B755)+COUNTBLANK(D755:E755)+COUNTBLANK(G755:G755)+COUNTBLANK(O755:AJ755)&gt;0,"Faltan "&amp;(COUNTBLANK(B755:B755)+COUNTBLANK(D755:E755)+COUNTBLANK(G755:G755)+COUNTBLANK(O755:AJ755))&amp;" datos obligatorios",IF(NOT(ISNUMBER(B755)),"Fecha no válida",IF(N(B755)&gt;TODAY(),"Fecha futura",IF(IFERROR(VLOOKUP(E755,LISTAS!$A$2:$C$65,3,FALSE),"")&lt;&gt;D755,"La subregión no corresponde al municipio",IF(IF(L755="",FALSE,OR(L755&lt;0,L755&gt;110)),"Edad fuera de rango",IF((V755="Sí")+(W755="Sí")+(X755="Sí")+(Y755="Sí")=0,"Marque al menos un tipo de violencia","OK")))))))</f>
        <v/>
      </c>
    </row>
    <row r="756">
      <c r="A756" s="12">
        <f>IF(OR(F756="",F756="Revisar",C756=""),"",F756&amp;"-"&amp;C756&amp;"-"&amp;TEXT(COUNTIFS($F$2:F756,F756,$C$2:C756,C756),"0000"))</f>
        <v/>
      </c>
      <c r="B756" s="13" t="n"/>
      <c r="C756" s="12">
        <f>IF(ISNUMBER(B756),YEAR(B756),"")</f>
        <v/>
      </c>
      <c r="D756" s="14" t="n"/>
      <c r="E756" s="14" t="n"/>
      <c r="F756" s="12">
        <f>IF(E756="","",IFERROR(VLOOKUP(E756,LISTAS!$A$2:$C$65,2,FALSE),"Revisar"))</f>
        <v/>
      </c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2">
        <f>IF(COUNTA(B756:B756)+COUNTA(D756:E756)+COUNTA(G756:AJ756)=0,"",IF(COUNTBLANK(B756:B756)+COUNTBLANK(D756:E756)+COUNTBLANK(G756:G756)+COUNTBLANK(O756:AJ756)&gt;0,"Faltan "&amp;(COUNTBLANK(B756:B756)+COUNTBLANK(D756:E756)+COUNTBLANK(G756:G756)+COUNTBLANK(O756:AJ756))&amp;" datos obligatorios",IF(NOT(ISNUMBER(B756)),"Fecha no válida",IF(N(B756)&gt;TODAY(),"Fecha futura",IF(IFERROR(VLOOKUP(E756,LISTAS!$A$2:$C$65,3,FALSE),"")&lt;&gt;D756,"La subregión no corresponde al municipio",IF(IF(L756="",FALSE,OR(L756&lt;0,L756&gt;110)),"Edad fuera de rango",IF((V756="Sí")+(W756="Sí")+(X756="Sí")+(Y756="Sí")=0,"Marque al menos un tipo de violencia","OK")))))))</f>
        <v/>
      </c>
    </row>
    <row r="757">
      <c r="A757" s="12">
        <f>IF(OR(F757="",F757="Revisar",C757=""),"",F757&amp;"-"&amp;C757&amp;"-"&amp;TEXT(COUNTIFS($F$2:F757,F757,$C$2:C757,C757),"0000"))</f>
        <v/>
      </c>
      <c r="B757" s="13" t="n"/>
      <c r="C757" s="12">
        <f>IF(ISNUMBER(B757),YEAR(B757),"")</f>
        <v/>
      </c>
      <c r="D757" s="14" t="n"/>
      <c r="E757" s="14" t="n"/>
      <c r="F757" s="12">
        <f>IF(E757="","",IFERROR(VLOOKUP(E757,LISTAS!$A$2:$C$65,2,FALSE),"Revisar"))</f>
        <v/>
      </c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2">
        <f>IF(COUNTA(B757:B757)+COUNTA(D757:E757)+COUNTA(G757:AJ757)=0,"",IF(COUNTBLANK(B757:B757)+COUNTBLANK(D757:E757)+COUNTBLANK(G757:G757)+COUNTBLANK(O757:AJ757)&gt;0,"Faltan "&amp;(COUNTBLANK(B757:B757)+COUNTBLANK(D757:E757)+COUNTBLANK(G757:G757)+COUNTBLANK(O757:AJ757))&amp;" datos obligatorios",IF(NOT(ISNUMBER(B757)),"Fecha no válida",IF(N(B757)&gt;TODAY(),"Fecha futura",IF(IFERROR(VLOOKUP(E757,LISTAS!$A$2:$C$65,3,FALSE),"")&lt;&gt;D757,"La subregión no corresponde al municipio",IF(IF(L757="",FALSE,OR(L757&lt;0,L757&gt;110)),"Edad fuera de rango",IF((V757="Sí")+(W757="Sí")+(X757="Sí")+(Y757="Sí")=0,"Marque al menos un tipo de violencia","OK")))))))</f>
        <v/>
      </c>
    </row>
    <row r="758">
      <c r="A758" s="12">
        <f>IF(OR(F758="",F758="Revisar",C758=""),"",F758&amp;"-"&amp;C758&amp;"-"&amp;TEXT(COUNTIFS($F$2:F758,F758,$C$2:C758,C758),"0000"))</f>
        <v/>
      </c>
      <c r="B758" s="13" t="n"/>
      <c r="C758" s="12">
        <f>IF(ISNUMBER(B758),YEAR(B758),"")</f>
        <v/>
      </c>
      <c r="D758" s="14" t="n"/>
      <c r="E758" s="14" t="n"/>
      <c r="F758" s="12">
        <f>IF(E758="","",IFERROR(VLOOKUP(E758,LISTAS!$A$2:$C$65,2,FALSE),"Revisar"))</f>
        <v/>
      </c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2">
        <f>IF(COUNTA(B758:B758)+COUNTA(D758:E758)+COUNTA(G758:AJ758)=0,"",IF(COUNTBLANK(B758:B758)+COUNTBLANK(D758:E758)+COUNTBLANK(G758:G758)+COUNTBLANK(O758:AJ758)&gt;0,"Faltan "&amp;(COUNTBLANK(B758:B758)+COUNTBLANK(D758:E758)+COUNTBLANK(G758:G758)+COUNTBLANK(O758:AJ758))&amp;" datos obligatorios",IF(NOT(ISNUMBER(B758)),"Fecha no válida",IF(N(B758)&gt;TODAY(),"Fecha futura",IF(IFERROR(VLOOKUP(E758,LISTAS!$A$2:$C$65,3,FALSE),"")&lt;&gt;D758,"La subregión no corresponde al municipio",IF(IF(L758="",FALSE,OR(L758&lt;0,L758&gt;110)),"Edad fuera de rango",IF((V758="Sí")+(W758="Sí")+(X758="Sí")+(Y758="Sí")=0,"Marque al menos un tipo de violencia","OK")))))))</f>
        <v/>
      </c>
    </row>
    <row r="759">
      <c r="A759" s="12">
        <f>IF(OR(F759="",F759="Revisar",C759=""),"",F759&amp;"-"&amp;C759&amp;"-"&amp;TEXT(COUNTIFS($F$2:F759,F759,$C$2:C759,C759),"0000"))</f>
        <v/>
      </c>
      <c r="B759" s="13" t="n"/>
      <c r="C759" s="12">
        <f>IF(ISNUMBER(B759),YEAR(B759),"")</f>
        <v/>
      </c>
      <c r="D759" s="14" t="n"/>
      <c r="E759" s="14" t="n"/>
      <c r="F759" s="12">
        <f>IF(E759="","",IFERROR(VLOOKUP(E759,LISTAS!$A$2:$C$65,2,FALSE),"Revisar"))</f>
        <v/>
      </c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2">
        <f>IF(COUNTA(B759:B759)+COUNTA(D759:E759)+COUNTA(G759:AJ759)=0,"",IF(COUNTBLANK(B759:B759)+COUNTBLANK(D759:E759)+COUNTBLANK(G759:G759)+COUNTBLANK(O759:AJ759)&gt;0,"Faltan "&amp;(COUNTBLANK(B759:B759)+COUNTBLANK(D759:E759)+COUNTBLANK(G759:G759)+COUNTBLANK(O759:AJ759))&amp;" datos obligatorios",IF(NOT(ISNUMBER(B759)),"Fecha no válida",IF(N(B759)&gt;TODAY(),"Fecha futura",IF(IFERROR(VLOOKUP(E759,LISTAS!$A$2:$C$65,3,FALSE),"")&lt;&gt;D759,"La subregión no corresponde al municipio",IF(IF(L759="",FALSE,OR(L759&lt;0,L759&gt;110)),"Edad fuera de rango",IF((V759="Sí")+(W759="Sí")+(X759="Sí")+(Y759="Sí")=0,"Marque al menos un tipo de violencia","OK")))))))</f>
        <v/>
      </c>
    </row>
    <row r="760">
      <c r="A760" s="12">
        <f>IF(OR(F760="",F760="Revisar",C760=""),"",F760&amp;"-"&amp;C760&amp;"-"&amp;TEXT(COUNTIFS($F$2:F760,F760,$C$2:C760,C760),"0000"))</f>
        <v/>
      </c>
      <c r="B760" s="13" t="n"/>
      <c r="C760" s="12">
        <f>IF(ISNUMBER(B760),YEAR(B760),"")</f>
        <v/>
      </c>
      <c r="D760" s="14" t="n"/>
      <c r="E760" s="14" t="n"/>
      <c r="F760" s="12">
        <f>IF(E760="","",IFERROR(VLOOKUP(E760,LISTAS!$A$2:$C$65,2,FALSE),"Revisar"))</f>
        <v/>
      </c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2">
        <f>IF(COUNTA(B760:B760)+COUNTA(D760:E760)+COUNTA(G760:AJ760)=0,"",IF(COUNTBLANK(B760:B760)+COUNTBLANK(D760:E760)+COUNTBLANK(G760:G760)+COUNTBLANK(O760:AJ760)&gt;0,"Faltan "&amp;(COUNTBLANK(B760:B760)+COUNTBLANK(D760:E760)+COUNTBLANK(G760:G760)+COUNTBLANK(O760:AJ760))&amp;" datos obligatorios",IF(NOT(ISNUMBER(B760)),"Fecha no válida",IF(N(B760)&gt;TODAY(),"Fecha futura",IF(IFERROR(VLOOKUP(E760,LISTAS!$A$2:$C$65,3,FALSE),"")&lt;&gt;D760,"La subregión no corresponde al municipio",IF(IF(L760="",FALSE,OR(L760&lt;0,L760&gt;110)),"Edad fuera de rango",IF((V760="Sí")+(W760="Sí")+(X760="Sí")+(Y760="Sí")=0,"Marque al menos un tipo de violencia","OK")))))))</f>
        <v/>
      </c>
    </row>
    <row r="761">
      <c r="A761" s="12">
        <f>IF(OR(F761="",F761="Revisar",C761=""),"",F761&amp;"-"&amp;C761&amp;"-"&amp;TEXT(COUNTIFS($F$2:F761,F761,$C$2:C761,C761),"0000"))</f>
        <v/>
      </c>
      <c r="B761" s="13" t="n"/>
      <c r="C761" s="12">
        <f>IF(ISNUMBER(B761),YEAR(B761),"")</f>
        <v/>
      </c>
      <c r="D761" s="14" t="n"/>
      <c r="E761" s="14" t="n"/>
      <c r="F761" s="12">
        <f>IF(E761="","",IFERROR(VLOOKUP(E761,LISTAS!$A$2:$C$65,2,FALSE),"Revisar"))</f>
        <v/>
      </c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2">
        <f>IF(COUNTA(B761:B761)+COUNTA(D761:E761)+COUNTA(G761:AJ761)=0,"",IF(COUNTBLANK(B761:B761)+COUNTBLANK(D761:E761)+COUNTBLANK(G761:G761)+COUNTBLANK(O761:AJ761)&gt;0,"Faltan "&amp;(COUNTBLANK(B761:B761)+COUNTBLANK(D761:E761)+COUNTBLANK(G761:G761)+COUNTBLANK(O761:AJ761))&amp;" datos obligatorios",IF(NOT(ISNUMBER(B761)),"Fecha no válida",IF(N(B761)&gt;TODAY(),"Fecha futura",IF(IFERROR(VLOOKUP(E761,LISTAS!$A$2:$C$65,3,FALSE),"")&lt;&gt;D761,"La subregión no corresponde al municipio",IF(IF(L761="",FALSE,OR(L761&lt;0,L761&gt;110)),"Edad fuera de rango",IF((V761="Sí")+(W761="Sí")+(X761="Sí")+(Y761="Sí")=0,"Marque al menos un tipo de violencia","OK")))))))</f>
        <v/>
      </c>
    </row>
    <row r="762">
      <c r="A762" s="12">
        <f>IF(OR(F762="",F762="Revisar",C762=""),"",F762&amp;"-"&amp;C762&amp;"-"&amp;TEXT(COUNTIFS($F$2:F762,F762,$C$2:C762,C762),"0000"))</f>
        <v/>
      </c>
      <c r="B762" s="13" t="n"/>
      <c r="C762" s="12">
        <f>IF(ISNUMBER(B762),YEAR(B762),"")</f>
        <v/>
      </c>
      <c r="D762" s="14" t="n"/>
      <c r="E762" s="14" t="n"/>
      <c r="F762" s="12">
        <f>IF(E762="","",IFERROR(VLOOKUP(E762,LISTAS!$A$2:$C$65,2,FALSE),"Revisar"))</f>
        <v/>
      </c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2">
        <f>IF(COUNTA(B762:B762)+COUNTA(D762:E762)+COUNTA(G762:AJ762)=0,"",IF(COUNTBLANK(B762:B762)+COUNTBLANK(D762:E762)+COUNTBLANK(G762:G762)+COUNTBLANK(O762:AJ762)&gt;0,"Faltan "&amp;(COUNTBLANK(B762:B762)+COUNTBLANK(D762:E762)+COUNTBLANK(G762:G762)+COUNTBLANK(O762:AJ762))&amp;" datos obligatorios",IF(NOT(ISNUMBER(B762)),"Fecha no válida",IF(N(B762)&gt;TODAY(),"Fecha futura",IF(IFERROR(VLOOKUP(E762,LISTAS!$A$2:$C$65,3,FALSE),"")&lt;&gt;D762,"La subregión no corresponde al municipio",IF(IF(L762="",FALSE,OR(L762&lt;0,L762&gt;110)),"Edad fuera de rango",IF((V762="Sí")+(W762="Sí")+(X762="Sí")+(Y762="Sí")=0,"Marque al menos un tipo de violencia","OK")))))))</f>
        <v/>
      </c>
    </row>
    <row r="763">
      <c r="A763" s="12">
        <f>IF(OR(F763="",F763="Revisar",C763=""),"",F763&amp;"-"&amp;C763&amp;"-"&amp;TEXT(COUNTIFS($F$2:F763,F763,$C$2:C763,C763),"0000"))</f>
        <v/>
      </c>
      <c r="B763" s="13" t="n"/>
      <c r="C763" s="12">
        <f>IF(ISNUMBER(B763),YEAR(B763),"")</f>
        <v/>
      </c>
      <c r="D763" s="14" t="n"/>
      <c r="E763" s="14" t="n"/>
      <c r="F763" s="12">
        <f>IF(E763="","",IFERROR(VLOOKUP(E763,LISTAS!$A$2:$C$65,2,FALSE),"Revisar"))</f>
        <v/>
      </c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2">
        <f>IF(COUNTA(B763:B763)+COUNTA(D763:E763)+COUNTA(G763:AJ763)=0,"",IF(COUNTBLANK(B763:B763)+COUNTBLANK(D763:E763)+COUNTBLANK(G763:G763)+COUNTBLANK(O763:AJ763)&gt;0,"Faltan "&amp;(COUNTBLANK(B763:B763)+COUNTBLANK(D763:E763)+COUNTBLANK(G763:G763)+COUNTBLANK(O763:AJ763))&amp;" datos obligatorios",IF(NOT(ISNUMBER(B763)),"Fecha no válida",IF(N(B763)&gt;TODAY(),"Fecha futura",IF(IFERROR(VLOOKUP(E763,LISTAS!$A$2:$C$65,3,FALSE),"")&lt;&gt;D763,"La subregión no corresponde al municipio",IF(IF(L763="",FALSE,OR(L763&lt;0,L763&gt;110)),"Edad fuera de rango",IF((V763="Sí")+(W763="Sí")+(X763="Sí")+(Y763="Sí")=0,"Marque al menos un tipo de violencia","OK")))))))</f>
        <v/>
      </c>
    </row>
    <row r="764">
      <c r="A764" s="12">
        <f>IF(OR(F764="",F764="Revisar",C764=""),"",F764&amp;"-"&amp;C764&amp;"-"&amp;TEXT(COUNTIFS($F$2:F764,F764,$C$2:C764,C764),"0000"))</f>
        <v/>
      </c>
      <c r="B764" s="13" t="n"/>
      <c r="C764" s="12">
        <f>IF(ISNUMBER(B764),YEAR(B764),"")</f>
        <v/>
      </c>
      <c r="D764" s="14" t="n"/>
      <c r="E764" s="14" t="n"/>
      <c r="F764" s="12">
        <f>IF(E764="","",IFERROR(VLOOKUP(E764,LISTAS!$A$2:$C$65,2,FALSE),"Revisar"))</f>
        <v/>
      </c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2">
        <f>IF(COUNTA(B764:B764)+COUNTA(D764:E764)+COUNTA(G764:AJ764)=0,"",IF(COUNTBLANK(B764:B764)+COUNTBLANK(D764:E764)+COUNTBLANK(G764:G764)+COUNTBLANK(O764:AJ764)&gt;0,"Faltan "&amp;(COUNTBLANK(B764:B764)+COUNTBLANK(D764:E764)+COUNTBLANK(G764:G764)+COUNTBLANK(O764:AJ764))&amp;" datos obligatorios",IF(NOT(ISNUMBER(B764)),"Fecha no válida",IF(N(B764)&gt;TODAY(),"Fecha futura",IF(IFERROR(VLOOKUP(E764,LISTAS!$A$2:$C$65,3,FALSE),"")&lt;&gt;D764,"La subregión no corresponde al municipio",IF(IF(L764="",FALSE,OR(L764&lt;0,L764&gt;110)),"Edad fuera de rango",IF((V764="Sí")+(W764="Sí")+(X764="Sí")+(Y764="Sí")=0,"Marque al menos un tipo de violencia","OK")))))))</f>
        <v/>
      </c>
    </row>
    <row r="765">
      <c r="A765" s="12">
        <f>IF(OR(F765="",F765="Revisar",C765=""),"",F765&amp;"-"&amp;C765&amp;"-"&amp;TEXT(COUNTIFS($F$2:F765,F765,$C$2:C765,C765),"0000"))</f>
        <v/>
      </c>
      <c r="B765" s="13" t="n"/>
      <c r="C765" s="12">
        <f>IF(ISNUMBER(B765),YEAR(B765),"")</f>
        <v/>
      </c>
      <c r="D765" s="14" t="n"/>
      <c r="E765" s="14" t="n"/>
      <c r="F765" s="12">
        <f>IF(E765="","",IFERROR(VLOOKUP(E765,LISTAS!$A$2:$C$65,2,FALSE),"Revisar"))</f>
        <v/>
      </c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2">
        <f>IF(COUNTA(B765:B765)+COUNTA(D765:E765)+COUNTA(G765:AJ765)=0,"",IF(COUNTBLANK(B765:B765)+COUNTBLANK(D765:E765)+COUNTBLANK(G765:G765)+COUNTBLANK(O765:AJ765)&gt;0,"Faltan "&amp;(COUNTBLANK(B765:B765)+COUNTBLANK(D765:E765)+COUNTBLANK(G765:G765)+COUNTBLANK(O765:AJ765))&amp;" datos obligatorios",IF(NOT(ISNUMBER(B765)),"Fecha no válida",IF(N(B765)&gt;TODAY(),"Fecha futura",IF(IFERROR(VLOOKUP(E765,LISTAS!$A$2:$C$65,3,FALSE),"")&lt;&gt;D765,"La subregión no corresponde al municipio",IF(IF(L765="",FALSE,OR(L765&lt;0,L765&gt;110)),"Edad fuera de rango",IF((V765="Sí")+(W765="Sí")+(X765="Sí")+(Y765="Sí")=0,"Marque al menos un tipo de violencia","OK")))))))</f>
        <v/>
      </c>
    </row>
    <row r="766">
      <c r="A766" s="12">
        <f>IF(OR(F766="",F766="Revisar",C766=""),"",F766&amp;"-"&amp;C766&amp;"-"&amp;TEXT(COUNTIFS($F$2:F766,F766,$C$2:C766,C766),"0000"))</f>
        <v/>
      </c>
      <c r="B766" s="13" t="n"/>
      <c r="C766" s="12">
        <f>IF(ISNUMBER(B766),YEAR(B766),"")</f>
        <v/>
      </c>
      <c r="D766" s="14" t="n"/>
      <c r="E766" s="14" t="n"/>
      <c r="F766" s="12">
        <f>IF(E766="","",IFERROR(VLOOKUP(E766,LISTAS!$A$2:$C$65,2,FALSE),"Revisar"))</f>
        <v/>
      </c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2">
        <f>IF(COUNTA(B766:B766)+COUNTA(D766:E766)+COUNTA(G766:AJ766)=0,"",IF(COUNTBLANK(B766:B766)+COUNTBLANK(D766:E766)+COUNTBLANK(G766:G766)+COUNTBLANK(O766:AJ766)&gt;0,"Faltan "&amp;(COUNTBLANK(B766:B766)+COUNTBLANK(D766:E766)+COUNTBLANK(G766:G766)+COUNTBLANK(O766:AJ766))&amp;" datos obligatorios",IF(NOT(ISNUMBER(B766)),"Fecha no válida",IF(N(B766)&gt;TODAY(),"Fecha futura",IF(IFERROR(VLOOKUP(E766,LISTAS!$A$2:$C$65,3,FALSE),"")&lt;&gt;D766,"La subregión no corresponde al municipio",IF(IF(L766="",FALSE,OR(L766&lt;0,L766&gt;110)),"Edad fuera de rango",IF((V766="Sí")+(W766="Sí")+(X766="Sí")+(Y766="Sí")=0,"Marque al menos un tipo de violencia","OK")))))))</f>
        <v/>
      </c>
    </row>
    <row r="767">
      <c r="A767" s="12">
        <f>IF(OR(F767="",F767="Revisar",C767=""),"",F767&amp;"-"&amp;C767&amp;"-"&amp;TEXT(COUNTIFS($F$2:F767,F767,$C$2:C767,C767),"0000"))</f>
        <v/>
      </c>
      <c r="B767" s="13" t="n"/>
      <c r="C767" s="12">
        <f>IF(ISNUMBER(B767),YEAR(B767),"")</f>
        <v/>
      </c>
      <c r="D767" s="14" t="n"/>
      <c r="E767" s="14" t="n"/>
      <c r="F767" s="12">
        <f>IF(E767="","",IFERROR(VLOOKUP(E767,LISTAS!$A$2:$C$65,2,FALSE),"Revisar"))</f>
        <v/>
      </c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2">
        <f>IF(COUNTA(B767:B767)+COUNTA(D767:E767)+COUNTA(G767:AJ767)=0,"",IF(COUNTBLANK(B767:B767)+COUNTBLANK(D767:E767)+COUNTBLANK(G767:G767)+COUNTBLANK(O767:AJ767)&gt;0,"Faltan "&amp;(COUNTBLANK(B767:B767)+COUNTBLANK(D767:E767)+COUNTBLANK(G767:G767)+COUNTBLANK(O767:AJ767))&amp;" datos obligatorios",IF(NOT(ISNUMBER(B767)),"Fecha no válida",IF(N(B767)&gt;TODAY(),"Fecha futura",IF(IFERROR(VLOOKUP(E767,LISTAS!$A$2:$C$65,3,FALSE),"")&lt;&gt;D767,"La subregión no corresponde al municipio",IF(IF(L767="",FALSE,OR(L767&lt;0,L767&gt;110)),"Edad fuera de rango",IF((V767="Sí")+(W767="Sí")+(X767="Sí")+(Y767="Sí")=0,"Marque al menos un tipo de violencia","OK")))))))</f>
        <v/>
      </c>
    </row>
    <row r="768">
      <c r="A768" s="12">
        <f>IF(OR(F768="",F768="Revisar",C768=""),"",F768&amp;"-"&amp;C768&amp;"-"&amp;TEXT(COUNTIFS($F$2:F768,F768,$C$2:C768,C768),"0000"))</f>
        <v/>
      </c>
      <c r="B768" s="13" t="n"/>
      <c r="C768" s="12">
        <f>IF(ISNUMBER(B768),YEAR(B768),"")</f>
        <v/>
      </c>
      <c r="D768" s="14" t="n"/>
      <c r="E768" s="14" t="n"/>
      <c r="F768" s="12">
        <f>IF(E768="","",IFERROR(VLOOKUP(E768,LISTAS!$A$2:$C$65,2,FALSE),"Revisar"))</f>
        <v/>
      </c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2">
        <f>IF(COUNTA(B768:B768)+COUNTA(D768:E768)+COUNTA(G768:AJ768)=0,"",IF(COUNTBLANK(B768:B768)+COUNTBLANK(D768:E768)+COUNTBLANK(G768:G768)+COUNTBLANK(O768:AJ768)&gt;0,"Faltan "&amp;(COUNTBLANK(B768:B768)+COUNTBLANK(D768:E768)+COUNTBLANK(G768:G768)+COUNTBLANK(O768:AJ768))&amp;" datos obligatorios",IF(NOT(ISNUMBER(B768)),"Fecha no válida",IF(N(B768)&gt;TODAY(),"Fecha futura",IF(IFERROR(VLOOKUP(E768,LISTAS!$A$2:$C$65,3,FALSE),"")&lt;&gt;D768,"La subregión no corresponde al municipio",IF(IF(L768="",FALSE,OR(L768&lt;0,L768&gt;110)),"Edad fuera de rango",IF((V768="Sí")+(W768="Sí")+(X768="Sí")+(Y768="Sí")=0,"Marque al menos un tipo de violencia","OK")))))))</f>
        <v/>
      </c>
    </row>
    <row r="769">
      <c r="A769" s="12">
        <f>IF(OR(F769="",F769="Revisar",C769=""),"",F769&amp;"-"&amp;C769&amp;"-"&amp;TEXT(COUNTIFS($F$2:F769,F769,$C$2:C769,C769),"0000"))</f>
        <v/>
      </c>
      <c r="B769" s="13" t="n"/>
      <c r="C769" s="12">
        <f>IF(ISNUMBER(B769),YEAR(B769),"")</f>
        <v/>
      </c>
      <c r="D769" s="14" t="n"/>
      <c r="E769" s="14" t="n"/>
      <c r="F769" s="12">
        <f>IF(E769="","",IFERROR(VLOOKUP(E769,LISTAS!$A$2:$C$65,2,FALSE),"Revisar"))</f>
        <v/>
      </c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2">
        <f>IF(COUNTA(B769:B769)+COUNTA(D769:E769)+COUNTA(G769:AJ769)=0,"",IF(COUNTBLANK(B769:B769)+COUNTBLANK(D769:E769)+COUNTBLANK(G769:G769)+COUNTBLANK(O769:AJ769)&gt;0,"Faltan "&amp;(COUNTBLANK(B769:B769)+COUNTBLANK(D769:E769)+COUNTBLANK(G769:G769)+COUNTBLANK(O769:AJ769))&amp;" datos obligatorios",IF(NOT(ISNUMBER(B769)),"Fecha no válida",IF(N(B769)&gt;TODAY(),"Fecha futura",IF(IFERROR(VLOOKUP(E769,LISTAS!$A$2:$C$65,3,FALSE),"")&lt;&gt;D769,"La subregión no corresponde al municipio",IF(IF(L769="",FALSE,OR(L769&lt;0,L769&gt;110)),"Edad fuera de rango",IF((V769="Sí")+(W769="Sí")+(X769="Sí")+(Y769="Sí")=0,"Marque al menos un tipo de violencia","OK")))))))</f>
        <v/>
      </c>
    </row>
    <row r="770">
      <c r="A770" s="12">
        <f>IF(OR(F770="",F770="Revisar",C770=""),"",F770&amp;"-"&amp;C770&amp;"-"&amp;TEXT(COUNTIFS($F$2:F770,F770,$C$2:C770,C770),"0000"))</f>
        <v/>
      </c>
      <c r="B770" s="13" t="n"/>
      <c r="C770" s="12">
        <f>IF(ISNUMBER(B770),YEAR(B770),"")</f>
        <v/>
      </c>
      <c r="D770" s="14" t="n"/>
      <c r="E770" s="14" t="n"/>
      <c r="F770" s="12">
        <f>IF(E770="","",IFERROR(VLOOKUP(E770,LISTAS!$A$2:$C$65,2,FALSE),"Revisar"))</f>
        <v/>
      </c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2">
        <f>IF(COUNTA(B770:B770)+COUNTA(D770:E770)+COUNTA(G770:AJ770)=0,"",IF(COUNTBLANK(B770:B770)+COUNTBLANK(D770:E770)+COUNTBLANK(G770:G770)+COUNTBLANK(O770:AJ770)&gt;0,"Faltan "&amp;(COUNTBLANK(B770:B770)+COUNTBLANK(D770:E770)+COUNTBLANK(G770:G770)+COUNTBLANK(O770:AJ770))&amp;" datos obligatorios",IF(NOT(ISNUMBER(B770)),"Fecha no válida",IF(N(B770)&gt;TODAY(),"Fecha futura",IF(IFERROR(VLOOKUP(E770,LISTAS!$A$2:$C$65,3,FALSE),"")&lt;&gt;D770,"La subregión no corresponde al municipio",IF(IF(L770="",FALSE,OR(L770&lt;0,L770&gt;110)),"Edad fuera de rango",IF((V770="Sí")+(W770="Sí")+(X770="Sí")+(Y770="Sí")=0,"Marque al menos un tipo de violencia","OK")))))))</f>
        <v/>
      </c>
    </row>
    <row r="771">
      <c r="A771" s="12">
        <f>IF(OR(F771="",F771="Revisar",C771=""),"",F771&amp;"-"&amp;C771&amp;"-"&amp;TEXT(COUNTIFS($F$2:F771,F771,$C$2:C771,C771),"0000"))</f>
        <v/>
      </c>
      <c r="B771" s="13" t="n"/>
      <c r="C771" s="12">
        <f>IF(ISNUMBER(B771),YEAR(B771),"")</f>
        <v/>
      </c>
      <c r="D771" s="14" t="n"/>
      <c r="E771" s="14" t="n"/>
      <c r="F771" s="12">
        <f>IF(E771="","",IFERROR(VLOOKUP(E771,LISTAS!$A$2:$C$65,2,FALSE),"Revisar"))</f>
        <v/>
      </c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2">
        <f>IF(COUNTA(B771:B771)+COUNTA(D771:E771)+COUNTA(G771:AJ771)=0,"",IF(COUNTBLANK(B771:B771)+COUNTBLANK(D771:E771)+COUNTBLANK(G771:G771)+COUNTBLANK(O771:AJ771)&gt;0,"Faltan "&amp;(COUNTBLANK(B771:B771)+COUNTBLANK(D771:E771)+COUNTBLANK(G771:G771)+COUNTBLANK(O771:AJ771))&amp;" datos obligatorios",IF(NOT(ISNUMBER(B771)),"Fecha no válida",IF(N(B771)&gt;TODAY(),"Fecha futura",IF(IFERROR(VLOOKUP(E771,LISTAS!$A$2:$C$65,3,FALSE),"")&lt;&gt;D771,"La subregión no corresponde al municipio",IF(IF(L771="",FALSE,OR(L771&lt;0,L771&gt;110)),"Edad fuera de rango",IF((V771="Sí")+(W771="Sí")+(X771="Sí")+(Y771="Sí")=0,"Marque al menos un tipo de violencia","OK")))))))</f>
        <v/>
      </c>
    </row>
    <row r="772">
      <c r="A772" s="12">
        <f>IF(OR(F772="",F772="Revisar",C772=""),"",F772&amp;"-"&amp;C772&amp;"-"&amp;TEXT(COUNTIFS($F$2:F772,F772,$C$2:C772,C772),"0000"))</f>
        <v/>
      </c>
      <c r="B772" s="13" t="n"/>
      <c r="C772" s="12">
        <f>IF(ISNUMBER(B772),YEAR(B772),"")</f>
        <v/>
      </c>
      <c r="D772" s="14" t="n"/>
      <c r="E772" s="14" t="n"/>
      <c r="F772" s="12">
        <f>IF(E772="","",IFERROR(VLOOKUP(E772,LISTAS!$A$2:$C$65,2,FALSE),"Revisar"))</f>
        <v/>
      </c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2">
        <f>IF(COUNTA(B772:B772)+COUNTA(D772:E772)+COUNTA(G772:AJ772)=0,"",IF(COUNTBLANK(B772:B772)+COUNTBLANK(D772:E772)+COUNTBLANK(G772:G772)+COUNTBLANK(O772:AJ772)&gt;0,"Faltan "&amp;(COUNTBLANK(B772:B772)+COUNTBLANK(D772:E772)+COUNTBLANK(G772:G772)+COUNTBLANK(O772:AJ772))&amp;" datos obligatorios",IF(NOT(ISNUMBER(B772)),"Fecha no válida",IF(N(B772)&gt;TODAY(),"Fecha futura",IF(IFERROR(VLOOKUP(E772,LISTAS!$A$2:$C$65,3,FALSE),"")&lt;&gt;D772,"La subregión no corresponde al municipio",IF(IF(L772="",FALSE,OR(L772&lt;0,L772&gt;110)),"Edad fuera de rango",IF((V772="Sí")+(W772="Sí")+(X772="Sí")+(Y772="Sí")=0,"Marque al menos un tipo de violencia","OK")))))))</f>
        <v/>
      </c>
    </row>
    <row r="773">
      <c r="A773" s="12">
        <f>IF(OR(F773="",F773="Revisar",C773=""),"",F773&amp;"-"&amp;C773&amp;"-"&amp;TEXT(COUNTIFS($F$2:F773,F773,$C$2:C773,C773),"0000"))</f>
        <v/>
      </c>
      <c r="B773" s="13" t="n"/>
      <c r="C773" s="12">
        <f>IF(ISNUMBER(B773),YEAR(B773),"")</f>
        <v/>
      </c>
      <c r="D773" s="14" t="n"/>
      <c r="E773" s="14" t="n"/>
      <c r="F773" s="12">
        <f>IF(E773="","",IFERROR(VLOOKUP(E773,LISTAS!$A$2:$C$65,2,FALSE),"Revisar"))</f>
        <v/>
      </c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2">
        <f>IF(COUNTA(B773:B773)+COUNTA(D773:E773)+COUNTA(G773:AJ773)=0,"",IF(COUNTBLANK(B773:B773)+COUNTBLANK(D773:E773)+COUNTBLANK(G773:G773)+COUNTBLANK(O773:AJ773)&gt;0,"Faltan "&amp;(COUNTBLANK(B773:B773)+COUNTBLANK(D773:E773)+COUNTBLANK(G773:G773)+COUNTBLANK(O773:AJ773))&amp;" datos obligatorios",IF(NOT(ISNUMBER(B773)),"Fecha no válida",IF(N(B773)&gt;TODAY(),"Fecha futura",IF(IFERROR(VLOOKUP(E773,LISTAS!$A$2:$C$65,3,FALSE),"")&lt;&gt;D773,"La subregión no corresponde al municipio",IF(IF(L773="",FALSE,OR(L773&lt;0,L773&gt;110)),"Edad fuera de rango",IF((V773="Sí")+(W773="Sí")+(X773="Sí")+(Y773="Sí")=0,"Marque al menos un tipo de violencia","OK")))))))</f>
        <v/>
      </c>
    </row>
    <row r="774">
      <c r="A774" s="12">
        <f>IF(OR(F774="",F774="Revisar",C774=""),"",F774&amp;"-"&amp;C774&amp;"-"&amp;TEXT(COUNTIFS($F$2:F774,F774,$C$2:C774,C774),"0000"))</f>
        <v/>
      </c>
      <c r="B774" s="13" t="n"/>
      <c r="C774" s="12">
        <f>IF(ISNUMBER(B774),YEAR(B774),"")</f>
        <v/>
      </c>
      <c r="D774" s="14" t="n"/>
      <c r="E774" s="14" t="n"/>
      <c r="F774" s="12">
        <f>IF(E774="","",IFERROR(VLOOKUP(E774,LISTAS!$A$2:$C$65,2,FALSE),"Revisar"))</f>
        <v/>
      </c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2">
        <f>IF(COUNTA(B774:B774)+COUNTA(D774:E774)+COUNTA(G774:AJ774)=0,"",IF(COUNTBLANK(B774:B774)+COUNTBLANK(D774:E774)+COUNTBLANK(G774:G774)+COUNTBLANK(O774:AJ774)&gt;0,"Faltan "&amp;(COUNTBLANK(B774:B774)+COUNTBLANK(D774:E774)+COUNTBLANK(G774:G774)+COUNTBLANK(O774:AJ774))&amp;" datos obligatorios",IF(NOT(ISNUMBER(B774)),"Fecha no válida",IF(N(B774)&gt;TODAY(),"Fecha futura",IF(IFERROR(VLOOKUP(E774,LISTAS!$A$2:$C$65,3,FALSE),"")&lt;&gt;D774,"La subregión no corresponde al municipio",IF(IF(L774="",FALSE,OR(L774&lt;0,L774&gt;110)),"Edad fuera de rango",IF((V774="Sí")+(W774="Sí")+(X774="Sí")+(Y774="Sí")=0,"Marque al menos un tipo de violencia","OK")))))))</f>
        <v/>
      </c>
    </row>
    <row r="775">
      <c r="A775" s="12">
        <f>IF(OR(F775="",F775="Revisar",C775=""),"",F775&amp;"-"&amp;C775&amp;"-"&amp;TEXT(COUNTIFS($F$2:F775,F775,$C$2:C775,C775),"0000"))</f>
        <v/>
      </c>
      <c r="B775" s="13" t="n"/>
      <c r="C775" s="12">
        <f>IF(ISNUMBER(B775),YEAR(B775),"")</f>
        <v/>
      </c>
      <c r="D775" s="14" t="n"/>
      <c r="E775" s="14" t="n"/>
      <c r="F775" s="12">
        <f>IF(E775="","",IFERROR(VLOOKUP(E775,LISTAS!$A$2:$C$65,2,FALSE),"Revisar"))</f>
        <v/>
      </c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2">
        <f>IF(COUNTA(B775:B775)+COUNTA(D775:E775)+COUNTA(G775:AJ775)=0,"",IF(COUNTBLANK(B775:B775)+COUNTBLANK(D775:E775)+COUNTBLANK(G775:G775)+COUNTBLANK(O775:AJ775)&gt;0,"Faltan "&amp;(COUNTBLANK(B775:B775)+COUNTBLANK(D775:E775)+COUNTBLANK(G775:G775)+COUNTBLANK(O775:AJ775))&amp;" datos obligatorios",IF(NOT(ISNUMBER(B775)),"Fecha no válida",IF(N(B775)&gt;TODAY(),"Fecha futura",IF(IFERROR(VLOOKUP(E775,LISTAS!$A$2:$C$65,3,FALSE),"")&lt;&gt;D775,"La subregión no corresponde al municipio",IF(IF(L775="",FALSE,OR(L775&lt;0,L775&gt;110)),"Edad fuera de rango",IF((V775="Sí")+(W775="Sí")+(X775="Sí")+(Y775="Sí")=0,"Marque al menos un tipo de violencia","OK")))))))</f>
        <v/>
      </c>
    </row>
    <row r="776">
      <c r="A776" s="12">
        <f>IF(OR(F776="",F776="Revisar",C776=""),"",F776&amp;"-"&amp;C776&amp;"-"&amp;TEXT(COUNTIFS($F$2:F776,F776,$C$2:C776,C776),"0000"))</f>
        <v/>
      </c>
      <c r="B776" s="13" t="n"/>
      <c r="C776" s="12">
        <f>IF(ISNUMBER(B776),YEAR(B776),"")</f>
        <v/>
      </c>
      <c r="D776" s="14" t="n"/>
      <c r="E776" s="14" t="n"/>
      <c r="F776" s="12">
        <f>IF(E776="","",IFERROR(VLOOKUP(E776,LISTAS!$A$2:$C$65,2,FALSE),"Revisar"))</f>
        <v/>
      </c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2">
        <f>IF(COUNTA(B776:B776)+COUNTA(D776:E776)+COUNTA(G776:AJ776)=0,"",IF(COUNTBLANK(B776:B776)+COUNTBLANK(D776:E776)+COUNTBLANK(G776:G776)+COUNTBLANK(O776:AJ776)&gt;0,"Faltan "&amp;(COUNTBLANK(B776:B776)+COUNTBLANK(D776:E776)+COUNTBLANK(G776:G776)+COUNTBLANK(O776:AJ776))&amp;" datos obligatorios",IF(NOT(ISNUMBER(B776)),"Fecha no válida",IF(N(B776)&gt;TODAY(),"Fecha futura",IF(IFERROR(VLOOKUP(E776,LISTAS!$A$2:$C$65,3,FALSE),"")&lt;&gt;D776,"La subregión no corresponde al municipio",IF(IF(L776="",FALSE,OR(L776&lt;0,L776&gt;110)),"Edad fuera de rango",IF((V776="Sí")+(W776="Sí")+(X776="Sí")+(Y776="Sí")=0,"Marque al menos un tipo de violencia","OK")))))))</f>
        <v/>
      </c>
    </row>
    <row r="777">
      <c r="A777" s="12">
        <f>IF(OR(F777="",F777="Revisar",C777=""),"",F777&amp;"-"&amp;C777&amp;"-"&amp;TEXT(COUNTIFS($F$2:F777,F777,$C$2:C777,C777),"0000"))</f>
        <v/>
      </c>
      <c r="B777" s="13" t="n"/>
      <c r="C777" s="12">
        <f>IF(ISNUMBER(B777),YEAR(B777),"")</f>
        <v/>
      </c>
      <c r="D777" s="14" t="n"/>
      <c r="E777" s="14" t="n"/>
      <c r="F777" s="12">
        <f>IF(E777="","",IFERROR(VLOOKUP(E777,LISTAS!$A$2:$C$65,2,FALSE),"Revisar"))</f>
        <v/>
      </c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2">
        <f>IF(COUNTA(B777:B777)+COUNTA(D777:E777)+COUNTA(G777:AJ777)=0,"",IF(COUNTBLANK(B777:B777)+COUNTBLANK(D777:E777)+COUNTBLANK(G777:G777)+COUNTBLANK(O777:AJ777)&gt;0,"Faltan "&amp;(COUNTBLANK(B777:B777)+COUNTBLANK(D777:E777)+COUNTBLANK(G777:G777)+COUNTBLANK(O777:AJ777))&amp;" datos obligatorios",IF(NOT(ISNUMBER(B777)),"Fecha no válida",IF(N(B777)&gt;TODAY(),"Fecha futura",IF(IFERROR(VLOOKUP(E777,LISTAS!$A$2:$C$65,3,FALSE),"")&lt;&gt;D777,"La subregión no corresponde al municipio",IF(IF(L777="",FALSE,OR(L777&lt;0,L777&gt;110)),"Edad fuera de rango",IF((V777="Sí")+(W777="Sí")+(X777="Sí")+(Y777="Sí")=0,"Marque al menos un tipo de violencia","OK")))))))</f>
        <v/>
      </c>
    </row>
    <row r="778">
      <c r="A778" s="12">
        <f>IF(OR(F778="",F778="Revisar",C778=""),"",F778&amp;"-"&amp;C778&amp;"-"&amp;TEXT(COUNTIFS($F$2:F778,F778,$C$2:C778,C778),"0000"))</f>
        <v/>
      </c>
      <c r="B778" s="13" t="n"/>
      <c r="C778" s="12">
        <f>IF(ISNUMBER(B778),YEAR(B778),"")</f>
        <v/>
      </c>
      <c r="D778" s="14" t="n"/>
      <c r="E778" s="14" t="n"/>
      <c r="F778" s="12">
        <f>IF(E778="","",IFERROR(VLOOKUP(E778,LISTAS!$A$2:$C$65,2,FALSE),"Revisar"))</f>
        <v/>
      </c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2">
        <f>IF(COUNTA(B778:B778)+COUNTA(D778:E778)+COUNTA(G778:AJ778)=0,"",IF(COUNTBLANK(B778:B778)+COUNTBLANK(D778:E778)+COUNTBLANK(G778:G778)+COUNTBLANK(O778:AJ778)&gt;0,"Faltan "&amp;(COUNTBLANK(B778:B778)+COUNTBLANK(D778:E778)+COUNTBLANK(G778:G778)+COUNTBLANK(O778:AJ778))&amp;" datos obligatorios",IF(NOT(ISNUMBER(B778)),"Fecha no válida",IF(N(B778)&gt;TODAY(),"Fecha futura",IF(IFERROR(VLOOKUP(E778,LISTAS!$A$2:$C$65,3,FALSE),"")&lt;&gt;D778,"La subregión no corresponde al municipio",IF(IF(L778="",FALSE,OR(L778&lt;0,L778&gt;110)),"Edad fuera de rango",IF((V778="Sí")+(W778="Sí")+(X778="Sí")+(Y778="Sí")=0,"Marque al menos un tipo de violencia","OK")))))))</f>
        <v/>
      </c>
    </row>
    <row r="779">
      <c r="A779" s="12">
        <f>IF(OR(F779="",F779="Revisar",C779=""),"",F779&amp;"-"&amp;C779&amp;"-"&amp;TEXT(COUNTIFS($F$2:F779,F779,$C$2:C779,C779),"0000"))</f>
        <v/>
      </c>
      <c r="B779" s="13" t="n"/>
      <c r="C779" s="12">
        <f>IF(ISNUMBER(B779),YEAR(B779),"")</f>
        <v/>
      </c>
      <c r="D779" s="14" t="n"/>
      <c r="E779" s="14" t="n"/>
      <c r="F779" s="12">
        <f>IF(E779="","",IFERROR(VLOOKUP(E779,LISTAS!$A$2:$C$65,2,FALSE),"Revisar"))</f>
        <v/>
      </c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2">
        <f>IF(COUNTA(B779:B779)+COUNTA(D779:E779)+COUNTA(G779:AJ779)=0,"",IF(COUNTBLANK(B779:B779)+COUNTBLANK(D779:E779)+COUNTBLANK(G779:G779)+COUNTBLANK(O779:AJ779)&gt;0,"Faltan "&amp;(COUNTBLANK(B779:B779)+COUNTBLANK(D779:E779)+COUNTBLANK(G779:G779)+COUNTBLANK(O779:AJ779))&amp;" datos obligatorios",IF(NOT(ISNUMBER(B779)),"Fecha no válida",IF(N(B779)&gt;TODAY(),"Fecha futura",IF(IFERROR(VLOOKUP(E779,LISTAS!$A$2:$C$65,3,FALSE),"")&lt;&gt;D779,"La subregión no corresponde al municipio",IF(IF(L779="",FALSE,OR(L779&lt;0,L779&gt;110)),"Edad fuera de rango",IF((V779="Sí")+(W779="Sí")+(X779="Sí")+(Y779="Sí")=0,"Marque al menos un tipo de violencia","OK")))))))</f>
        <v/>
      </c>
    </row>
    <row r="780">
      <c r="A780" s="12">
        <f>IF(OR(F780="",F780="Revisar",C780=""),"",F780&amp;"-"&amp;C780&amp;"-"&amp;TEXT(COUNTIFS($F$2:F780,F780,$C$2:C780,C780),"0000"))</f>
        <v/>
      </c>
      <c r="B780" s="13" t="n"/>
      <c r="C780" s="12">
        <f>IF(ISNUMBER(B780),YEAR(B780),"")</f>
        <v/>
      </c>
      <c r="D780" s="14" t="n"/>
      <c r="E780" s="14" t="n"/>
      <c r="F780" s="12">
        <f>IF(E780="","",IFERROR(VLOOKUP(E780,LISTAS!$A$2:$C$65,2,FALSE),"Revisar"))</f>
        <v/>
      </c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2">
        <f>IF(COUNTA(B780:B780)+COUNTA(D780:E780)+COUNTA(G780:AJ780)=0,"",IF(COUNTBLANK(B780:B780)+COUNTBLANK(D780:E780)+COUNTBLANK(G780:G780)+COUNTBLANK(O780:AJ780)&gt;0,"Faltan "&amp;(COUNTBLANK(B780:B780)+COUNTBLANK(D780:E780)+COUNTBLANK(G780:G780)+COUNTBLANK(O780:AJ780))&amp;" datos obligatorios",IF(NOT(ISNUMBER(B780)),"Fecha no válida",IF(N(B780)&gt;TODAY(),"Fecha futura",IF(IFERROR(VLOOKUP(E780,LISTAS!$A$2:$C$65,3,FALSE),"")&lt;&gt;D780,"La subregión no corresponde al municipio",IF(IF(L780="",FALSE,OR(L780&lt;0,L780&gt;110)),"Edad fuera de rango",IF((V780="Sí")+(W780="Sí")+(X780="Sí")+(Y780="Sí")=0,"Marque al menos un tipo de violencia","OK")))))))</f>
        <v/>
      </c>
    </row>
    <row r="781">
      <c r="A781" s="12">
        <f>IF(OR(F781="",F781="Revisar",C781=""),"",F781&amp;"-"&amp;C781&amp;"-"&amp;TEXT(COUNTIFS($F$2:F781,F781,$C$2:C781,C781),"0000"))</f>
        <v/>
      </c>
      <c r="B781" s="13" t="n"/>
      <c r="C781" s="12">
        <f>IF(ISNUMBER(B781),YEAR(B781),"")</f>
        <v/>
      </c>
      <c r="D781" s="14" t="n"/>
      <c r="E781" s="14" t="n"/>
      <c r="F781" s="12">
        <f>IF(E781="","",IFERROR(VLOOKUP(E781,LISTAS!$A$2:$C$65,2,FALSE),"Revisar"))</f>
        <v/>
      </c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2">
        <f>IF(COUNTA(B781:B781)+COUNTA(D781:E781)+COUNTA(G781:AJ781)=0,"",IF(COUNTBLANK(B781:B781)+COUNTBLANK(D781:E781)+COUNTBLANK(G781:G781)+COUNTBLANK(O781:AJ781)&gt;0,"Faltan "&amp;(COUNTBLANK(B781:B781)+COUNTBLANK(D781:E781)+COUNTBLANK(G781:G781)+COUNTBLANK(O781:AJ781))&amp;" datos obligatorios",IF(NOT(ISNUMBER(B781)),"Fecha no válida",IF(N(B781)&gt;TODAY(),"Fecha futura",IF(IFERROR(VLOOKUP(E781,LISTAS!$A$2:$C$65,3,FALSE),"")&lt;&gt;D781,"La subregión no corresponde al municipio",IF(IF(L781="",FALSE,OR(L781&lt;0,L781&gt;110)),"Edad fuera de rango",IF((V781="Sí")+(W781="Sí")+(X781="Sí")+(Y781="Sí")=0,"Marque al menos un tipo de violencia","OK")))))))</f>
        <v/>
      </c>
    </row>
    <row r="782">
      <c r="A782" s="12">
        <f>IF(OR(F782="",F782="Revisar",C782=""),"",F782&amp;"-"&amp;C782&amp;"-"&amp;TEXT(COUNTIFS($F$2:F782,F782,$C$2:C782,C782),"0000"))</f>
        <v/>
      </c>
      <c r="B782" s="13" t="n"/>
      <c r="C782" s="12">
        <f>IF(ISNUMBER(B782),YEAR(B782),"")</f>
        <v/>
      </c>
      <c r="D782" s="14" t="n"/>
      <c r="E782" s="14" t="n"/>
      <c r="F782" s="12">
        <f>IF(E782="","",IFERROR(VLOOKUP(E782,LISTAS!$A$2:$C$65,2,FALSE),"Revisar"))</f>
        <v/>
      </c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2">
        <f>IF(COUNTA(B782:B782)+COUNTA(D782:E782)+COUNTA(G782:AJ782)=0,"",IF(COUNTBLANK(B782:B782)+COUNTBLANK(D782:E782)+COUNTBLANK(G782:G782)+COUNTBLANK(O782:AJ782)&gt;0,"Faltan "&amp;(COUNTBLANK(B782:B782)+COUNTBLANK(D782:E782)+COUNTBLANK(G782:G782)+COUNTBLANK(O782:AJ782))&amp;" datos obligatorios",IF(NOT(ISNUMBER(B782)),"Fecha no válida",IF(N(B782)&gt;TODAY(),"Fecha futura",IF(IFERROR(VLOOKUP(E782,LISTAS!$A$2:$C$65,3,FALSE),"")&lt;&gt;D782,"La subregión no corresponde al municipio",IF(IF(L782="",FALSE,OR(L782&lt;0,L782&gt;110)),"Edad fuera de rango",IF((V782="Sí")+(W782="Sí")+(X782="Sí")+(Y782="Sí")=0,"Marque al menos un tipo de violencia","OK")))))))</f>
        <v/>
      </c>
    </row>
    <row r="783">
      <c r="A783" s="12">
        <f>IF(OR(F783="",F783="Revisar",C783=""),"",F783&amp;"-"&amp;C783&amp;"-"&amp;TEXT(COUNTIFS($F$2:F783,F783,$C$2:C783,C783),"0000"))</f>
        <v/>
      </c>
      <c r="B783" s="13" t="n"/>
      <c r="C783" s="12">
        <f>IF(ISNUMBER(B783),YEAR(B783),"")</f>
        <v/>
      </c>
      <c r="D783" s="14" t="n"/>
      <c r="E783" s="14" t="n"/>
      <c r="F783" s="12">
        <f>IF(E783="","",IFERROR(VLOOKUP(E783,LISTAS!$A$2:$C$65,2,FALSE),"Revisar"))</f>
        <v/>
      </c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2">
        <f>IF(COUNTA(B783:B783)+COUNTA(D783:E783)+COUNTA(G783:AJ783)=0,"",IF(COUNTBLANK(B783:B783)+COUNTBLANK(D783:E783)+COUNTBLANK(G783:G783)+COUNTBLANK(O783:AJ783)&gt;0,"Faltan "&amp;(COUNTBLANK(B783:B783)+COUNTBLANK(D783:E783)+COUNTBLANK(G783:G783)+COUNTBLANK(O783:AJ783))&amp;" datos obligatorios",IF(NOT(ISNUMBER(B783)),"Fecha no válida",IF(N(B783)&gt;TODAY(),"Fecha futura",IF(IFERROR(VLOOKUP(E783,LISTAS!$A$2:$C$65,3,FALSE),"")&lt;&gt;D783,"La subregión no corresponde al municipio",IF(IF(L783="",FALSE,OR(L783&lt;0,L783&gt;110)),"Edad fuera de rango",IF((V783="Sí")+(W783="Sí")+(X783="Sí")+(Y783="Sí")=0,"Marque al menos un tipo de violencia","OK")))))))</f>
        <v/>
      </c>
    </row>
    <row r="784">
      <c r="A784" s="12">
        <f>IF(OR(F784="",F784="Revisar",C784=""),"",F784&amp;"-"&amp;C784&amp;"-"&amp;TEXT(COUNTIFS($F$2:F784,F784,$C$2:C784,C784),"0000"))</f>
        <v/>
      </c>
      <c r="B784" s="13" t="n"/>
      <c r="C784" s="12">
        <f>IF(ISNUMBER(B784),YEAR(B784),"")</f>
        <v/>
      </c>
      <c r="D784" s="14" t="n"/>
      <c r="E784" s="14" t="n"/>
      <c r="F784" s="12">
        <f>IF(E784="","",IFERROR(VLOOKUP(E784,LISTAS!$A$2:$C$65,2,FALSE),"Revisar"))</f>
        <v/>
      </c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2">
        <f>IF(COUNTA(B784:B784)+COUNTA(D784:E784)+COUNTA(G784:AJ784)=0,"",IF(COUNTBLANK(B784:B784)+COUNTBLANK(D784:E784)+COUNTBLANK(G784:G784)+COUNTBLANK(O784:AJ784)&gt;0,"Faltan "&amp;(COUNTBLANK(B784:B784)+COUNTBLANK(D784:E784)+COUNTBLANK(G784:G784)+COUNTBLANK(O784:AJ784))&amp;" datos obligatorios",IF(NOT(ISNUMBER(B784)),"Fecha no válida",IF(N(B784)&gt;TODAY(),"Fecha futura",IF(IFERROR(VLOOKUP(E784,LISTAS!$A$2:$C$65,3,FALSE),"")&lt;&gt;D784,"La subregión no corresponde al municipio",IF(IF(L784="",FALSE,OR(L784&lt;0,L784&gt;110)),"Edad fuera de rango",IF((V784="Sí")+(W784="Sí")+(X784="Sí")+(Y784="Sí")=0,"Marque al menos un tipo de violencia","OK")))))))</f>
        <v/>
      </c>
    </row>
    <row r="785">
      <c r="A785" s="12">
        <f>IF(OR(F785="",F785="Revisar",C785=""),"",F785&amp;"-"&amp;C785&amp;"-"&amp;TEXT(COUNTIFS($F$2:F785,F785,$C$2:C785,C785),"0000"))</f>
        <v/>
      </c>
      <c r="B785" s="13" t="n"/>
      <c r="C785" s="12">
        <f>IF(ISNUMBER(B785),YEAR(B785),"")</f>
        <v/>
      </c>
      <c r="D785" s="14" t="n"/>
      <c r="E785" s="14" t="n"/>
      <c r="F785" s="12">
        <f>IF(E785="","",IFERROR(VLOOKUP(E785,LISTAS!$A$2:$C$65,2,FALSE),"Revisar"))</f>
        <v/>
      </c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2">
        <f>IF(COUNTA(B785:B785)+COUNTA(D785:E785)+COUNTA(G785:AJ785)=0,"",IF(COUNTBLANK(B785:B785)+COUNTBLANK(D785:E785)+COUNTBLANK(G785:G785)+COUNTBLANK(O785:AJ785)&gt;0,"Faltan "&amp;(COUNTBLANK(B785:B785)+COUNTBLANK(D785:E785)+COUNTBLANK(G785:G785)+COUNTBLANK(O785:AJ785))&amp;" datos obligatorios",IF(NOT(ISNUMBER(B785)),"Fecha no válida",IF(N(B785)&gt;TODAY(),"Fecha futura",IF(IFERROR(VLOOKUP(E785,LISTAS!$A$2:$C$65,3,FALSE),"")&lt;&gt;D785,"La subregión no corresponde al municipio",IF(IF(L785="",FALSE,OR(L785&lt;0,L785&gt;110)),"Edad fuera de rango",IF((V785="Sí")+(W785="Sí")+(X785="Sí")+(Y785="Sí")=0,"Marque al menos un tipo de violencia","OK")))))))</f>
        <v/>
      </c>
    </row>
    <row r="786">
      <c r="A786" s="12">
        <f>IF(OR(F786="",F786="Revisar",C786=""),"",F786&amp;"-"&amp;C786&amp;"-"&amp;TEXT(COUNTIFS($F$2:F786,F786,$C$2:C786,C786),"0000"))</f>
        <v/>
      </c>
      <c r="B786" s="13" t="n"/>
      <c r="C786" s="12">
        <f>IF(ISNUMBER(B786),YEAR(B786),"")</f>
        <v/>
      </c>
      <c r="D786" s="14" t="n"/>
      <c r="E786" s="14" t="n"/>
      <c r="F786" s="12">
        <f>IF(E786="","",IFERROR(VLOOKUP(E786,LISTAS!$A$2:$C$65,2,FALSE),"Revisar"))</f>
        <v/>
      </c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2">
        <f>IF(COUNTA(B786:B786)+COUNTA(D786:E786)+COUNTA(G786:AJ786)=0,"",IF(COUNTBLANK(B786:B786)+COUNTBLANK(D786:E786)+COUNTBLANK(G786:G786)+COUNTBLANK(O786:AJ786)&gt;0,"Faltan "&amp;(COUNTBLANK(B786:B786)+COUNTBLANK(D786:E786)+COUNTBLANK(G786:G786)+COUNTBLANK(O786:AJ786))&amp;" datos obligatorios",IF(NOT(ISNUMBER(B786)),"Fecha no válida",IF(N(B786)&gt;TODAY(),"Fecha futura",IF(IFERROR(VLOOKUP(E786,LISTAS!$A$2:$C$65,3,FALSE),"")&lt;&gt;D786,"La subregión no corresponde al municipio",IF(IF(L786="",FALSE,OR(L786&lt;0,L786&gt;110)),"Edad fuera de rango",IF((V786="Sí")+(W786="Sí")+(X786="Sí")+(Y786="Sí")=0,"Marque al menos un tipo de violencia","OK")))))))</f>
        <v/>
      </c>
    </row>
    <row r="787">
      <c r="A787" s="12">
        <f>IF(OR(F787="",F787="Revisar",C787=""),"",F787&amp;"-"&amp;C787&amp;"-"&amp;TEXT(COUNTIFS($F$2:F787,F787,$C$2:C787,C787),"0000"))</f>
        <v/>
      </c>
      <c r="B787" s="13" t="n"/>
      <c r="C787" s="12">
        <f>IF(ISNUMBER(B787),YEAR(B787),"")</f>
        <v/>
      </c>
      <c r="D787" s="14" t="n"/>
      <c r="E787" s="14" t="n"/>
      <c r="F787" s="12">
        <f>IF(E787="","",IFERROR(VLOOKUP(E787,LISTAS!$A$2:$C$65,2,FALSE),"Revisar"))</f>
        <v/>
      </c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2">
        <f>IF(COUNTA(B787:B787)+COUNTA(D787:E787)+COUNTA(G787:AJ787)=0,"",IF(COUNTBLANK(B787:B787)+COUNTBLANK(D787:E787)+COUNTBLANK(G787:G787)+COUNTBLANK(O787:AJ787)&gt;0,"Faltan "&amp;(COUNTBLANK(B787:B787)+COUNTBLANK(D787:E787)+COUNTBLANK(G787:G787)+COUNTBLANK(O787:AJ787))&amp;" datos obligatorios",IF(NOT(ISNUMBER(B787)),"Fecha no válida",IF(N(B787)&gt;TODAY(),"Fecha futura",IF(IFERROR(VLOOKUP(E787,LISTAS!$A$2:$C$65,3,FALSE),"")&lt;&gt;D787,"La subregión no corresponde al municipio",IF(IF(L787="",FALSE,OR(L787&lt;0,L787&gt;110)),"Edad fuera de rango",IF((V787="Sí")+(W787="Sí")+(X787="Sí")+(Y787="Sí")=0,"Marque al menos un tipo de violencia","OK")))))))</f>
        <v/>
      </c>
    </row>
    <row r="788">
      <c r="A788" s="12">
        <f>IF(OR(F788="",F788="Revisar",C788=""),"",F788&amp;"-"&amp;C788&amp;"-"&amp;TEXT(COUNTIFS($F$2:F788,F788,$C$2:C788,C788),"0000"))</f>
        <v/>
      </c>
      <c r="B788" s="13" t="n"/>
      <c r="C788" s="12">
        <f>IF(ISNUMBER(B788),YEAR(B788),"")</f>
        <v/>
      </c>
      <c r="D788" s="14" t="n"/>
      <c r="E788" s="14" t="n"/>
      <c r="F788" s="12">
        <f>IF(E788="","",IFERROR(VLOOKUP(E788,LISTAS!$A$2:$C$65,2,FALSE),"Revisar"))</f>
        <v/>
      </c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2">
        <f>IF(COUNTA(B788:B788)+COUNTA(D788:E788)+COUNTA(G788:AJ788)=0,"",IF(COUNTBLANK(B788:B788)+COUNTBLANK(D788:E788)+COUNTBLANK(G788:G788)+COUNTBLANK(O788:AJ788)&gt;0,"Faltan "&amp;(COUNTBLANK(B788:B788)+COUNTBLANK(D788:E788)+COUNTBLANK(G788:G788)+COUNTBLANK(O788:AJ788))&amp;" datos obligatorios",IF(NOT(ISNUMBER(B788)),"Fecha no válida",IF(N(B788)&gt;TODAY(),"Fecha futura",IF(IFERROR(VLOOKUP(E788,LISTAS!$A$2:$C$65,3,FALSE),"")&lt;&gt;D788,"La subregión no corresponde al municipio",IF(IF(L788="",FALSE,OR(L788&lt;0,L788&gt;110)),"Edad fuera de rango",IF((V788="Sí")+(W788="Sí")+(X788="Sí")+(Y788="Sí")=0,"Marque al menos un tipo de violencia","OK")))))))</f>
        <v/>
      </c>
    </row>
    <row r="789">
      <c r="A789" s="12">
        <f>IF(OR(F789="",F789="Revisar",C789=""),"",F789&amp;"-"&amp;C789&amp;"-"&amp;TEXT(COUNTIFS($F$2:F789,F789,$C$2:C789,C789),"0000"))</f>
        <v/>
      </c>
      <c r="B789" s="13" t="n"/>
      <c r="C789" s="12">
        <f>IF(ISNUMBER(B789),YEAR(B789),"")</f>
        <v/>
      </c>
      <c r="D789" s="14" t="n"/>
      <c r="E789" s="14" t="n"/>
      <c r="F789" s="12">
        <f>IF(E789="","",IFERROR(VLOOKUP(E789,LISTAS!$A$2:$C$65,2,FALSE),"Revisar"))</f>
        <v/>
      </c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2">
        <f>IF(COUNTA(B789:B789)+COUNTA(D789:E789)+COUNTA(G789:AJ789)=0,"",IF(COUNTBLANK(B789:B789)+COUNTBLANK(D789:E789)+COUNTBLANK(G789:G789)+COUNTBLANK(O789:AJ789)&gt;0,"Faltan "&amp;(COUNTBLANK(B789:B789)+COUNTBLANK(D789:E789)+COUNTBLANK(G789:G789)+COUNTBLANK(O789:AJ789))&amp;" datos obligatorios",IF(NOT(ISNUMBER(B789)),"Fecha no válida",IF(N(B789)&gt;TODAY(),"Fecha futura",IF(IFERROR(VLOOKUP(E789,LISTAS!$A$2:$C$65,3,FALSE),"")&lt;&gt;D789,"La subregión no corresponde al municipio",IF(IF(L789="",FALSE,OR(L789&lt;0,L789&gt;110)),"Edad fuera de rango",IF((V789="Sí")+(W789="Sí")+(X789="Sí")+(Y789="Sí")=0,"Marque al menos un tipo de violencia","OK")))))))</f>
        <v/>
      </c>
    </row>
    <row r="790">
      <c r="A790" s="12">
        <f>IF(OR(F790="",F790="Revisar",C790=""),"",F790&amp;"-"&amp;C790&amp;"-"&amp;TEXT(COUNTIFS($F$2:F790,F790,$C$2:C790,C790),"0000"))</f>
        <v/>
      </c>
      <c r="B790" s="13" t="n"/>
      <c r="C790" s="12">
        <f>IF(ISNUMBER(B790),YEAR(B790),"")</f>
        <v/>
      </c>
      <c r="D790" s="14" t="n"/>
      <c r="E790" s="14" t="n"/>
      <c r="F790" s="12">
        <f>IF(E790="","",IFERROR(VLOOKUP(E790,LISTAS!$A$2:$C$65,2,FALSE),"Revisar"))</f>
        <v/>
      </c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2">
        <f>IF(COUNTA(B790:B790)+COUNTA(D790:E790)+COUNTA(G790:AJ790)=0,"",IF(COUNTBLANK(B790:B790)+COUNTBLANK(D790:E790)+COUNTBLANK(G790:G790)+COUNTBLANK(O790:AJ790)&gt;0,"Faltan "&amp;(COUNTBLANK(B790:B790)+COUNTBLANK(D790:E790)+COUNTBLANK(G790:G790)+COUNTBLANK(O790:AJ790))&amp;" datos obligatorios",IF(NOT(ISNUMBER(B790)),"Fecha no válida",IF(N(B790)&gt;TODAY(),"Fecha futura",IF(IFERROR(VLOOKUP(E790,LISTAS!$A$2:$C$65,3,FALSE),"")&lt;&gt;D790,"La subregión no corresponde al municipio",IF(IF(L790="",FALSE,OR(L790&lt;0,L790&gt;110)),"Edad fuera de rango",IF((V790="Sí")+(W790="Sí")+(X790="Sí")+(Y790="Sí")=0,"Marque al menos un tipo de violencia","OK")))))))</f>
        <v/>
      </c>
    </row>
    <row r="791">
      <c r="A791" s="12">
        <f>IF(OR(F791="",F791="Revisar",C791=""),"",F791&amp;"-"&amp;C791&amp;"-"&amp;TEXT(COUNTIFS($F$2:F791,F791,$C$2:C791,C791),"0000"))</f>
        <v/>
      </c>
      <c r="B791" s="13" t="n"/>
      <c r="C791" s="12">
        <f>IF(ISNUMBER(B791),YEAR(B791),"")</f>
        <v/>
      </c>
      <c r="D791" s="14" t="n"/>
      <c r="E791" s="14" t="n"/>
      <c r="F791" s="12">
        <f>IF(E791="","",IFERROR(VLOOKUP(E791,LISTAS!$A$2:$C$65,2,FALSE),"Revisar"))</f>
        <v/>
      </c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2">
        <f>IF(COUNTA(B791:B791)+COUNTA(D791:E791)+COUNTA(G791:AJ791)=0,"",IF(COUNTBLANK(B791:B791)+COUNTBLANK(D791:E791)+COUNTBLANK(G791:G791)+COUNTBLANK(O791:AJ791)&gt;0,"Faltan "&amp;(COUNTBLANK(B791:B791)+COUNTBLANK(D791:E791)+COUNTBLANK(G791:G791)+COUNTBLANK(O791:AJ791))&amp;" datos obligatorios",IF(NOT(ISNUMBER(B791)),"Fecha no válida",IF(N(B791)&gt;TODAY(),"Fecha futura",IF(IFERROR(VLOOKUP(E791,LISTAS!$A$2:$C$65,3,FALSE),"")&lt;&gt;D791,"La subregión no corresponde al municipio",IF(IF(L791="",FALSE,OR(L791&lt;0,L791&gt;110)),"Edad fuera de rango",IF((V791="Sí")+(W791="Sí")+(X791="Sí")+(Y791="Sí")=0,"Marque al menos un tipo de violencia","OK")))))))</f>
        <v/>
      </c>
    </row>
    <row r="792">
      <c r="A792" s="12">
        <f>IF(OR(F792="",F792="Revisar",C792=""),"",F792&amp;"-"&amp;C792&amp;"-"&amp;TEXT(COUNTIFS($F$2:F792,F792,$C$2:C792,C792),"0000"))</f>
        <v/>
      </c>
      <c r="B792" s="13" t="n"/>
      <c r="C792" s="12">
        <f>IF(ISNUMBER(B792),YEAR(B792),"")</f>
        <v/>
      </c>
      <c r="D792" s="14" t="n"/>
      <c r="E792" s="14" t="n"/>
      <c r="F792" s="12">
        <f>IF(E792="","",IFERROR(VLOOKUP(E792,LISTAS!$A$2:$C$65,2,FALSE),"Revisar"))</f>
        <v/>
      </c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2">
        <f>IF(COUNTA(B792:B792)+COUNTA(D792:E792)+COUNTA(G792:AJ792)=0,"",IF(COUNTBLANK(B792:B792)+COUNTBLANK(D792:E792)+COUNTBLANK(G792:G792)+COUNTBLANK(O792:AJ792)&gt;0,"Faltan "&amp;(COUNTBLANK(B792:B792)+COUNTBLANK(D792:E792)+COUNTBLANK(G792:G792)+COUNTBLANK(O792:AJ792))&amp;" datos obligatorios",IF(NOT(ISNUMBER(B792)),"Fecha no válida",IF(N(B792)&gt;TODAY(),"Fecha futura",IF(IFERROR(VLOOKUP(E792,LISTAS!$A$2:$C$65,3,FALSE),"")&lt;&gt;D792,"La subregión no corresponde al municipio",IF(IF(L792="",FALSE,OR(L792&lt;0,L792&gt;110)),"Edad fuera de rango",IF((V792="Sí")+(W792="Sí")+(X792="Sí")+(Y792="Sí")=0,"Marque al menos un tipo de violencia","OK")))))))</f>
        <v/>
      </c>
    </row>
    <row r="793">
      <c r="A793" s="12">
        <f>IF(OR(F793="",F793="Revisar",C793=""),"",F793&amp;"-"&amp;C793&amp;"-"&amp;TEXT(COUNTIFS($F$2:F793,F793,$C$2:C793,C793),"0000"))</f>
        <v/>
      </c>
      <c r="B793" s="13" t="n"/>
      <c r="C793" s="12">
        <f>IF(ISNUMBER(B793),YEAR(B793),"")</f>
        <v/>
      </c>
      <c r="D793" s="14" t="n"/>
      <c r="E793" s="14" t="n"/>
      <c r="F793" s="12">
        <f>IF(E793="","",IFERROR(VLOOKUP(E793,LISTAS!$A$2:$C$65,2,FALSE),"Revisar"))</f>
        <v/>
      </c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2">
        <f>IF(COUNTA(B793:B793)+COUNTA(D793:E793)+COUNTA(G793:AJ793)=0,"",IF(COUNTBLANK(B793:B793)+COUNTBLANK(D793:E793)+COUNTBLANK(G793:G793)+COUNTBLANK(O793:AJ793)&gt;0,"Faltan "&amp;(COUNTBLANK(B793:B793)+COUNTBLANK(D793:E793)+COUNTBLANK(G793:G793)+COUNTBLANK(O793:AJ793))&amp;" datos obligatorios",IF(NOT(ISNUMBER(B793)),"Fecha no válida",IF(N(B793)&gt;TODAY(),"Fecha futura",IF(IFERROR(VLOOKUP(E793,LISTAS!$A$2:$C$65,3,FALSE),"")&lt;&gt;D793,"La subregión no corresponde al municipio",IF(IF(L793="",FALSE,OR(L793&lt;0,L793&gt;110)),"Edad fuera de rango",IF((V793="Sí")+(W793="Sí")+(X793="Sí")+(Y793="Sí")=0,"Marque al menos un tipo de violencia","OK")))))))</f>
        <v/>
      </c>
    </row>
    <row r="794">
      <c r="A794" s="12">
        <f>IF(OR(F794="",F794="Revisar",C794=""),"",F794&amp;"-"&amp;C794&amp;"-"&amp;TEXT(COUNTIFS($F$2:F794,F794,$C$2:C794,C794),"0000"))</f>
        <v/>
      </c>
      <c r="B794" s="13" t="n"/>
      <c r="C794" s="12">
        <f>IF(ISNUMBER(B794),YEAR(B794),"")</f>
        <v/>
      </c>
      <c r="D794" s="14" t="n"/>
      <c r="E794" s="14" t="n"/>
      <c r="F794" s="12">
        <f>IF(E794="","",IFERROR(VLOOKUP(E794,LISTAS!$A$2:$C$65,2,FALSE),"Revisar"))</f>
        <v/>
      </c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2">
        <f>IF(COUNTA(B794:B794)+COUNTA(D794:E794)+COUNTA(G794:AJ794)=0,"",IF(COUNTBLANK(B794:B794)+COUNTBLANK(D794:E794)+COUNTBLANK(G794:G794)+COUNTBLANK(O794:AJ794)&gt;0,"Faltan "&amp;(COUNTBLANK(B794:B794)+COUNTBLANK(D794:E794)+COUNTBLANK(G794:G794)+COUNTBLANK(O794:AJ794))&amp;" datos obligatorios",IF(NOT(ISNUMBER(B794)),"Fecha no válida",IF(N(B794)&gt;TODAY(),"Fecha futura",IF(IFERROR(VLOOKUP(E794,LISTAS!$A$2:$C$65,3,FALSE),"")&lt;&gt;D794,"La subregión no corresponde al municipio",IF(IF(L794="",FALSE,OR(L794&lt;0,L794&gt;110)),"Edad fuera de rango",IF((V794="Sí")+(W794="Sí")+(X794="Sí")+(Y794="Sí")=0,"Marque al menos un tipo de violencia","OK")))))))</f>
        <v/>
      </c>
    </row>
    <row r="795">
      <c r="A795" s="12">
        <f>IF(OR(F795="",F795="Revisar",C795=""),"",F795&amp;"-"&amp;C795&amp;"-"&amp;TEXT(COUNTIFS($F$2:F795,F795,$C$2:C795,C795),"0000"))</f>
        <v/>
      </c>
      <c r="B795" s="13" t="n"/>
      <c r="C795" s="12">
        <f>IF(ISNUMBER(B795),YEAR(B795),"")</f>
        <v/>
      </c>
      <c r="D795" s="14" t="n"/>
      <c r="E795" s="14" t="n"/>
      <c r="F795" s="12">
        <f>IF(E795="","",IFERROR(VLOOKUP(E795,LISTAS!$A$2:$C$65,2,FALSE),"Revisar"))</f>
        <v/>
      </c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2">
        <f>IF(COUNTA(B795:B795)+COUNTA(D795:E795)+COUNTA(G795:AJ795)=0,"",IF(COUNTBLANK(B795:B795)+COUNTBLANK(D795:E795)+COUNTBLANK(G795:G795)+COUNTBLANK(O795:AJ795)&gt;0,"Faltan "&amp;(COUNTBLANK(B795:B795)+COUNTBLANK(D795:E795)+COUNTBLANK(G795:G795)+COUNTBLANK(O795:AJ795))&amp;" datos obligatorios",IF(NOT(ISNUMBER(B795)),"Fecha no válida",IF(N(B795)&gt;TODAY(),"Fecha futura",IF(IFERROR(VLOOKUP(E795,LISTAS!$A$2:$C$65,3,FALSE),"")&lt;&gt;D795,"La subregión no corresponde al municipio",IF(IF(L795="",FALSE,OR(L795&lt;0,L795&gt;110)),"Edad fuera de rango",IF((V795="Sí")+(W795="Sí")+(X795="Sí")+(Y795="Sí")=0,"Marque al menos un tipo de violencia","OK")))))))</f>
        <v/>
      </c>
    </row>
    <row r="796">
      <c r="A796" s="12">
        <f>IF(OR(F796="",F796="Revisar",C796=""),"",F796&amp;"-"&amp;C796&amp;"-"&amp;TEXT(COUNTIFS($F$2:F796,F796,$C$2:C796,C796),"0000"))</f>
        <v/>
      </c>
      <c r="B796" s="13" t="n"/>
      <c r="C796" s="12">
        <f>IF(ISNUMBER(B796),YEAR(B796),"")</f>
        <v/>
      </c>
      <c r="D796" s="14" t="n"/>
      <c r="E796" s="14" t="n"/>
      <c r="F796" s="12">
        <f>IF(E796="","",IFERROR(VLOOKUP(E796,LISTAS!$A$2:$C$65,2,FALSE),"Revisar"))</f>
        <v/>
      </c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2">
        <f>IF(COUNTA(B796:B796)+COUNTA(D796:E796)+COUNTA(G796:AJ796)=0,"",IF(COUNTBLANK(B796:B796)+COUNTBLANK(D796:E796)+COUNTBLANK(G796:G796)+COUNTBLANK(O796:AJ796)&gt;0,"Faltan "&amp;(COUNTBLANK(B796:B796)+COUNTBLANK(D796:E796)+COUNTBLANK(G796:G796)+COUNTBLANK(O796:AJ796))&amp;" datos obligatorios",IF(NOT(ISNUMBER(B796)),"Fecha no válida",IF(N(B796)&gt;TODAY(),"Fecha futura",IF(IFERROR(VLOOKUP(E796,LISTAS!$A$2:$C$65,3,FALSE),"")&lt;&gt;D796,"La subregión no corresponde al municipio",IF(IF(L796="",FALSE,OR(L796&lt;0,L796&gt;110)),"Edad fuera de rango",IF((V796="Sí")+(W796="Sí")+(X796="Sí")+(Y796="Sí")=0,"Marque al menos un tipo de violencia","OK")))))))</f>
        <v/>
      </c>
    </row>
    <row r="797">
      <c r="A797" s="12">
        <f>IF(OR(F797="",F797="Revisar",C797=""),"",F797&amp;"-"&amp;C797&amp;"-"&amp;TEXT(COUNTIFS($F$2:F797,F797,$C$2:C797,C797),"0000"))</f>
        <v/>
      </c>
      <c r="B797" s="13" t="n"/>
      <c r="C797" s="12">
        <f>IF(ISNUMBER(B797),YEAR(B797),"")</f>
        <v/>
      </c>
      <c r="D797" s="14" t="n"/>
      <c r="E797" s="14" t="n"/>
      <c r="F797" s="12">
        <f>IF(E797="","",IFERROR(VLOOKUP(E797,LISTAS!$A$2:$C$65,2,FALSE),"Revisar"))</f>
        <v/>
      </c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2">
        <f>IF(COUNTA(B797:B797)+COUNTA(D797:E797)+COUNTA(G797:AJ797)=0,"",IF(COUNTBLANK(B797:B797)+COUNTBLANK(D797:E797)+COUNTBLANK(G797:G797)+COUNTBLANK(O797:AJ797)&gt;0,"Faltan "&amp;(COUNTBLANK(B797:B797)+COUNTBLANK(D797:E797)+COUNTBLANK(G797:G797)+COUNTBLANK(O797:AJ797))&amp;" datos obligatorios",IF(NOT(ISNUMBER(B797)),"Fecha no válida",IF(N(B797)&gt;TODAY(),"Fecha futura",IF(IFERROR(VLOOKUP(E797,LISTAS!$A$2:$C$65,3,FALSE),"")&lt;&gt;D797,"La subregión no corresponde al municipio",IF(IF(L797="",FALSE,OR(L797&lt;0,L797&gt;110)),"Edad fuera de rango",IF((V797="Sí")+(W797="Sí")+(X797="Sí")+(Y797="Sí")=0,"Marque al menos un tipo de violencia","OK")))))))</f>
        <v/>
      </c>
    </row>
    <row r="798">
      <c r="A798" s="12">
        <f>IF(OR(F798="",F798="Revisar",C798=""),"",F798&amp;"-"&amp;C798&amp;"-"&amp;TEXT(COUNTIFS($F$2:F798,F798,$C$2:C798,C798),"0000"))</f>
        <v/>
      </c>
      <c r="B798" s="13" t="n"/>
      <c r="C798" s="12">
        <f>IF(ISNUMBER(B798),YEAR(B798),"")</f>
        <v/>
      </c>
      <c r="D798" s="14" t="n"/>
      <c r="E798" s="14" t="n"/>
      <c r="F798" s="12">
        <f>IF(E798="","",IFERROR(VLOOKUP(E798,LISTAS!$A$2:$C$65,2,FALSE),"Revisar"))</f>
        <v/>
      </c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2">
        <f>IF(COUNTA(B798:B798)+COUNTA(D798:E798)+COUNTA(G798:AJ798)=0,"",IF(COUNTBLANK(B798:B798)+COUNTBLANK(D798:E798)+COUNTBLANK(G798:G798)+COUNTBLANK(O798:AJ798)&gt;0,"Faltan "&amp;(COUNTBLANK(B798:B798)+COUNTBLANK(D798:E798)+COUNTBLANK(G798:G798)+COUNTBLANK(O798:AJ798))&amp;" datos obligatorios",IF(NOT(ISNUMBER(B798)),"Fecha no válida",IF(N(B798)&gt;TODAY(),"Fecha futura",IF(IFERROR(VLOOKUP(E798,LISTAS!$A$2:$C$65,3,FALSE),"")&lt;&gt;D798,"La subregión no corresponde al municipio",IF(IF(L798="",FALSE,OR(L798&lt;0,L798&gt;110)),"Edad fuera de rango",IF((V798="Sí")+(W798="Sí")+(X798="Sí")+(Y798="Sí")=0,"Marque al menos un tipo de violencia","OK")))))))</f>
        <v/>
      </c>
    </row>
    <row r="799">
      <c r="A799" s="12">
        <f>IF(OR(F799="",F799="Revisar",C799=""),"",F799&amp;"-"&amp;C799&amp;"-"&amp;TEXT(COUNTIFS($F$2:F799,F799,$C$2:C799,C799),"0000"))</f>
        <v/>
      </c>
      <c r="B799" s="13" t="n"/>
      <c r="C799" s="12">
        <f>IF(ISNUMBER(B799),YEAR(B799),"")</f>
        <v/>
      </c>
      <c r="D799" s="14" t="n"/>
      <c r="E799" s="14" t="n"/>
      <c r="F799" s="12">
        <f>IF(E799="","",IFERROR(VLOOKUP(E799,LISTAS!$A$2:$C$65,2,FALSE),"Revisar"))</f>
        <v/>
      </c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2">
        <f>IF(COUNTA(B799:B799)+COUNTA(D799:E799)+COUNTA(G799:AJ799)=0,"",IF(COUNTBLANK(B799:B799)+COUNTBLANK(D799:E799)+COUNTBLANK(G799:G799)+COUNTBLANK(O799:AJ799)&gt;0,"Faltan "&amp;(COUNTBLANK(B799:B799)+COUNTBLANK(D799:E799)+COUNTBLANK(G799:G799)+COUNTBLANK(O799:AJ799))&amp;" datos obligatorios",IF(NOT(ISNUMBER(B799)),"Fecha no válida",IF(N(B799)&gt;TODAY(),"Fecha futura",IF(IFERROR(VLOOKUP(E799,LISTAS!$A$2:$C$65,3,FALSE),"")&lt;&gt;D799,"La subregión no corresponde al municipio",IF(IF(L799="",FALSE,OR(L799&lt;0,L799&gt;110)),"Edad fuera de rango",IF((V799="Sí")+(W799="Sí")+(X799="Sí")+(Y799="Sí")=0,"Marque al menos un tipo de violencia","OK")))))))</f>
        <v/>
      </c>
    </row>
    <row r="800">
      <c r="A800" s="12">
        <f>IF(OR(F800="",F800="Revisar",C800=""),"",F800&amp;"-"&amp;C800&amp;"-"&amp;TEXT(COUNTIFS($F$2:F800,F800,$C$2:C800,C800),"0000"))</f>
        <v/>
      </c>
      <c r="B800" s="13" t="n"/>
      <c r="C800" s="12">
        <f>IF(ISNUMBER(B800),YEAR(B800),"")</f>
        <v/>
      </c>
      <c r="D800" s="14" t="n"/>
      <c r="E800" s="14" t="n"/>
      <c r="F800" s="12">
        <f>IF(E800="","",IFERROR(VLOOKUP(E800,LISTAS!$A$2:$C$65,2,FALSE),"Revisar"))</f>
        <v/>
      </c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2">
        <f>IF(COUNTA(B800:B800)+COUNTA(D800:E800)+COUNTA(G800:AJ800)=0,"",IF(COUNTBLANK(B800:B800)+COUNTBLANK(D800:E800)+COUNTBLANK(G800:G800)+COUNTBLANK(O800:AJ800)&gt;0,"Faltan "&amp;(COUNTBLANK(B800:B800)+COUNTBLANK(D800:E800)+COUNTBLANK(G800:G800)+COUNTBLANK(O800:AJ800))&amp;" datos obligatorios",IF(NOT(ISNUMBER(B800)),"Fecha no válida",IF(N(B800)&gt;TODAY(),"Fecha futura",IF(IFERROR(VLOOKUP(E800,LISTAS!$A$2:$C$65,3,FALSE),"")&lt;&gt;D800,"La subregión no corresponde al municipio",IF(IF(L800="",FALSE,OR(L800&lt;0,L800&gt;110)),"Edad fuera de rango",IF((V800="Sí")+(W800="Sí")+(X800="Sí")+(Y800="Sí")=0,"Marque al menos un tipo de violencia","OK")))))))</f>
        <v/>
      </c>
    </row>
    <row r="801">
      <c r="A801" s="12">
        <f>IF(OR(F801="",F801="Revisar",C801=""),"",F801&amp;"-"&amp;C801&amp;"-"&amp;TEXT(COUNTIFS($F$2:F801,F801,$C$2:C801,C801),"0000"))</f>
        <v/>
      </c>
      <c r="B801" s="13" t="n"/>
      <c r="C801" s="12">
        <f>IF(ISNUMBER(B801),YEAR(B801),"")</f>
        <v/>
      </c>
      <c r="D801" s="14" t="n"/>
      <c r="E801" s="14" t="n"/>
      <c r="F801" s="12">
        <f>IF(E801="","",IFERROR(VLOOKUP(E801,LISTAS!$A$2:$C$65,2,FALSE),"Revisar"))</f>
        <v/>
      </c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2">
        <f>IF(COUNTA(B801:B801)+COUNTA(D801:E801)+COUNTA(G801:AJ801)=0,"",IF(COUNTBLANK(B801:B801)+COUNTBLANK(D801:E801)+COUNTBLANK(G801:G801)+COUNTBLANK(O801:AJ801)&gt;0,"Faltan "&amp;(COUNTBLANK(B801:B801)+COUNTBLANK(D801:E801)+COUNTBLANK(G801:G801)+COUNTBLANK(O801:AJ801))&amp;" datos obligatorios",IF(NOT(ISNUMBER(B801)),"Fecha no válida",IF(N(B801)&gt;TODAY(),"Fecha futura",IF(IFERROR(VLOOKUP(E801,LISTAS!$A$2:$C$65,3,FALSE),"")&lt;&gt;D801,"La subregión no corresponde al municipio",IF(IF(L801="",FALSE,OR(L801&lt;0,L801&gt;110)),"Edad fuera de rango",IF((V801="Sí")+(W801="Sí")+(X801="Sí")+(Y801="Sí")=0,"Marque al menos un tipo de violencia","OK")))))))</f>
        <v/>
      </c>
    </row>
    <row r="802">
      <c r="A802" s="12">
        <f>IF(OR(F802="",F802="Revisar",C802=""),"",F802&amp;"-"&amp;C802&amp;"-"&amp;TEXT(COUNTIFS($F$2:F802,F802,$C$2:C802,C802),"0000"))</f>
        <v/>
      </c>
      <c r="B802" s="13" t="n"/>
      <c r="C802" s="12">
        <f>IF(ISNUMBER(B802),YEAR(B802),"")</f>
        <v/>
      </c>
      <c r="D802" s="14" t="n"/>
      <c r="E802" s="14" t="n"/>
      <c r="F802" s="12">
        <f>IF(E802="","",IFERROR(VLOOKUP(E802,LISTAS!$A$2:$C$65,2,FALSE),"Revisar"))</f>
        <v/>
      </c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2">
        <f>IF(COUNTA(B802:B802)+COUNTA(D802:E802)+COUNTA(G802:AJ802)=0,"",IF(COUNTBLANK(B802:B802)+COUNTBLANK(D802:E802)+COUNTBLANK(G802:G802)+COUNTBLANK(O802:AJ802)&gt;0,"Faltan "&amp;(COUNTBLANK(B802:B802)+COUNTBLANK(D802:E802)+COUNTBLANK(G802:G802)+COUNTBLANK(O802:AJ802))&amp;" datos obligatorios",IF(NOT(ISNUMBER(B802)),"Fecha no válida",IF(N(B802)&gt;TODAY(),"Fecha futura",IF(IFERROR(VLOOKUP(E802,LISTAS!$A$2:$C$65,3,FALSE),"")&lt;&gt;D802,"La subregión no corresponde al municipio",IF(IF(L802="",FALSE,OR(L802&lt;0,L802&gt;110)),"Edad fuera de rango",IF((V802="Sí")+(W802="Sí")+(X802="Sí")+(Y802="Sí")=0,"Marque al menos un tipo de violencia","OK")))))))</f>
        <v/>
      </c>
    </row>
    <row r="803">
      <c r="A803" s="12">
        <f>IF(OR(F803="",F803="Revisar",C803=""),"",F803&amp;"-"&amp;C803&amp;"-"&amp;TEXT(COUNTIFS($F$2:F803,F803,$C$2:C803,C803),"0000"))</f>
        <v/>
      </c>
      <c r="B803" s="13" t="n"/>
      <c r="C803" s="12">
        <f>IF(ISNUMBER(B803),YEAR(B803),"")</f>
        <v/>
      </c>
      <c r="D803" s="14" t="n"/>
      <c r="E803" s="14" t="n"/>
      <c r="F803" s="12">
        <f>IF(E803="","",IFERROR(VLOOKUP(E803,LISTAS!$A$2:$C$65,2,FALSE),"Revisar"))</f>
        <v/>
      </c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2">
        <f>IF(COUNTA(B803:B803)+COUNTA(D803:E803)+COUNTA(G803:AJ803)=0,"",IF(COUNTBLANK(B803:B803)+COUNTBLANK(D803:E803)+COUNTBLANK(G803:G803)+COUNTBLANK(O803:AJ803)&gt;0,"Faltan "&amp;(COUNTBLANK(B803:B803)+COUNTBLANK(D803:E803)+COUNTBLANK(G803:G803)+COUNTBLANK(O803:AJ803))&amp;" datos obligatorios",IF(NOT(ISNUMBER(B803)),"Fecha no válida",IF(N(B803)&gt;TODAY(),"Fecha futura",IF(IFERROR(VLOOKUP(E803,LISTAS!$A$2:$C$65,3,FALSE),"")&lt;&gt;D803,"La subregión no corresponde al municipio",IF(IF(L803="",FALSE,OR(L803&lt;0,L803&gt;110)),"Edad fuera de rango",IF((V803="Sí")+(W803="Sí")+(X803="Sí")+(Y803="Sí")=0,"Marque al menos un tipo de violencia","OK")))))))</f>
        <v/>
      </c>
    </row>
    <row r="804">
      <c r="A804" s="12">
        <f>IF(OR(F804="",F804="Revisar",C804=""),"",F804&amp;"-"&amp;C804&amp;"-"&amp;TEXT(COUNTIFS($F$2:F804,F804,$C$2:C804,C804),"0000"))</f>
        <v/>
      </c>
      <c r="B804" s="13" t="n"/>
      <c r="C804" s="12">
        <f>IF(ISNUMBER(B804),YEAR(B804),"")</f>
        <v/>
      </c>
      <c r="D804" s="14" t="n"/>
      <c r="E804" s="14" t="n"/>
      <c r="F804" s="12">
        <f>IF(E804="","",IFERROR(VLOOKUP(E804,LISTAS!$A$2:$C$65,2,FALSE),"Revisar"))</f>
        <v/>
      </c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2">
        <f>IF(COUNTA(B804:B804)+COUNTA(D804:E804)+COUNTA(G804:AJ804)=0,"",IF(COUNTBLANK(B804:B804)+COUNTBLANK(D804:E804)+COUNTBLANK(G804:G804)+COUNTBLANK(O804:AJ804)&gt;0,"Faltan "&amp;(COUNTBLANK(B804:B804)+COUNTBLANK(D804:E804)+COUNTBLANK(G804:G804)+COUNTBLANK(O804:AJ804))&amp;" datos obligatorios",IF(NOT(ISNUMBER(B804)),"Fecha no válida",IF(N(B804)&gt;TODAY(),"Fecha futura",IF(IFERROR(VLOOKUP(E804,LISTAS!$A$2:$C$65,3,FALSE),"")&lt;&gt;D804,"La subregión no corresponde al municipio",IF(IF(L804="",FALSE,OR(L804&lt;0,L804&gt;110)),"Edad fuera de rango",IF((V804="Sí")+(W804="Sí")+(X804="Sí")+(Y804="Sí")=0,"Marque al menos un tipo de violencia","OK")))))))</f>
        <v/>
      </c>
    </row>
    <row r="805">
      <c r="A805" s="12">
        <f>IF(OR(F805="",F805="Revisar",C805=""),"",F805&amp;"-"&amp;C805&amp;"-"&amp;TEXT(COUNTIFS($F$2:F805,F805,$C$2:C805,C805),"0000"))</f>
        <v/>
      </c>
      <c r="B805" s="13" t="n"/>
      <c r="C805" s="12">
        <f>IF(ISNUMBER(B805),YEAR(B805),"")</f>
        <v/>
      </c>
      <c r="D805" s="14" t="n"/>
      <c r="E805" s="14" t="n"/>
      <c r="F805" s="12">
        <f>IF(E805="","",IFERROR(VLOOKUP(E805,LISTAS!$A$2:$C$65,2,FALSE),"Revisar"))</f>
        <v/>
      </c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2">
        <f>IF(COUNTA(B805:B805)+COUNTA(D805:E805)+COUNTA(G805:AJ805)=0,"",IF(COUNTBLANK(B805:B805)+COUNTBLANK(D805:E805)+COUNTBLANK(G805:G805)+COUNTBLANK(O805:AJ805)&gt;0,"Faltan "&amp;(COUNTBLANK(B805:B805)+COUNTBLANK(D805:E805)+COUNTBLANK(G805:G805)+COUNTBLANK(O805:AJ805))&amp;" datos obligatorios",IF(NOT(ISNUMBER(B805)),"Fecha no válida",IF(N(B805)&gt;TODAY(),"Fecha futura",IF(IFERROR(VLOOKUP(E805,LISTAS!$A$2:$C$65,3,FALSE),"")&lt;&gt;D805,"La subregión no corresponde al municipio",IF(IF(L805="",FALSE,OR(L805&lt;0,L805&gt;110)),"Edad fuera de rango",IF((V805="Sí")+(W805="Sí")+(X805="Sí")+(Y805="Sí")=0,"Marque al menos un tipo de violencia","OK")))))))</f>
        <v/>
      </c>
    </row>
    <row r="806">
      <c r="A806" s="12">
        <f>IF(OR(F806="",F806="Revisar",C806=""),"",F806&amp;"-"&amp;C806&amp;"-"&amp;TEXT(COUNTIFS($F$2:F806,F806,$C$2:C806,C806),"0000"))</f>
        <v/>
      </c>
      <c r="B806" s="13" t="n"/>
      <c r="C806" s="12">
        <f>IF(ISNUMBER(B806),YEAR(B806),"")</f>
        <v/>
      </c>
      <c r="D806" s="14" t="n"/>
      <c r="E806" s="14" t="n"/>
      <c r="F806" s="12">
        <f>IF(E806="","",IFERROR(VLOOKUP(E806,LISTAS!$A$2:$C$65,2,FALSE),"Revisar"))</f>
        <v/>
      </c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2">
        <f>IF(COUNTA(B806:B806)+COUNTA(D806:E806)+COUNTA(G806:AJ806)=0,"",IF(COUNTBLANK(B806:B806)+COUNTBLANK(D806:E806)+COUNTBLANK(G806:G806)+COUNTBLANK(O806:AJ806)&gt;0,"Faltan "&amp;(COUNTBLANK(B806:B806)+COUNTBLANK(D806:E806)+COUNTBLANK(G806:G806)+COUNTBLANK(O806:AJ806))&amp;" datos obligatorios",IF(NOT(ISNUMBER(B806)),"Fecha no válida",IF(N(B806)&gt;TODAY(),"Fecha futura",IF(IFERROR(VLOOKUP(E806,LISTAS!$A$2:$C$65,3,FALSE),"")&lt;&gt;D806,"La subregión no corresponde al municipio",IF(IF(L806="",FALSE,OR(L806&lt;0,L806&gt;110)),"Edad fuera de rango",IF((V806="Sí")+(W806="Sí")+(X806="Sí")+(Y806="Sí")=0,"Marque al menos un tipo de violencia","OK")))))))</f>
        <v/>
      </c>
    </row>
    <row r="807">
      <c r="A807" s="12">
        <f>IF(OR(F807="",F807="Revisar",C807=""),"",F807&amp;"-"&amp;C807&amp;"-"&amp;TEXT(COUNTIFS($F$2:F807,F807,$C$2:C807,C807),"0000"))</f>
        <v/>
      </c>
      <c r="B807" s="13" t="n"/>
      <c r="C807" s="12">
        <f>IF(ISNUMBER(B807),YEAR(B807),"")</f>
        <v/>
      </c>
      <c r="D807" s="14" t="n"/>
      <c r="E807" s="14" t="n"/>
      <c r="F807" s="12">
        <f>IF(E807="","",IFERROR(VLOOKUP(E807,LISTAS!$A$2:$C$65,2,FALSE),"Revisar"))</f>
        <v/>
      </c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2">
        <f>IF(COUNTA(B807:B807)+COUNTA(D807:E807)+COUNTA(G807:AJ807)=0,"",IF(COUNTBLANK(B807:B807)+COUNTBLANK(D807:E807)+COUNTBLANK(G807:G807)+COUNTBLANK(O807:AJ807)&gt;0,"Faltan "&amp;(COUNTBLANK(B807:B807)+COUNTBLANK(D807:E807)+COUNTBLANK(G807:G807)+COUNTBLANK(O807:AJ807))&amp;" datos obligatorios",IF(NOT(ISNUMBER(B807)),"Fecha no válida",IF(N(B807)&gt;TODAY(),"Fecha futura",IF(IFERROR(VLOOKUP(E807,LISTAS!$A$2:$C$65,3,FALSE),"")&lt;&gt;D807,"La subregión no corresponde al municipio",IF(IF(L807="",FALSE,OR(L807&lt;0,L807&gt;110)),"Edad fuera de rango",IF((V807="Sí")+(W807="Sí")+(X807="Sí")+(Y807="Sí")=0,"Marque al menos un tipo de violencia","OK")))))))</f>
        <v/>
      </c>
    </row>
    <row r="808">
      <c r="A808" s="12">
        <f>IF(OR(F808="",F808="Revisar",C808=""),"",F808&amp;"-"&amp;C808&amp;"-"&amp;TEXT(COUNTIFS($F$2:F808,F808,$C$2:C808,C808),"0000"))</f>
        <v/>
      </c>
      <c r="B808" s="13" t="n"/>
      <c r="C808" s="12">
        <f>IF(ISNUMBER(B808),YEAR(B808),"")</f>
        <v/>
      </c>
      <c r="D808" s="14" t="n"/>
      <c r="E808" s="14" t="n"/>
      <c r="F808" s="12">
        <f>IF(E808="","",IFERROR(VLOOKUP(E808,LISTAS!$A$2:$C$65,2,FALSE),"Revisar"))</f>
        <v/>
      </c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2">
        <f>IF(COUNTA(B808:B808)+COUNTA(D808:E808)+COUNTA(G808:AJ808)=0,"",IF(COUNTBLANK(B808:B808)+COUNTBLANK(D808:E808)+COUNTBLANK(G808:G808)+COUNTBLANK(O808:AJ808)&gt;0,"Faltan "&amp;(COUNTBLANK(B808:B808)+COUNTBLANK(D808:E808)+COUNTBLANK(G808:G808)+COUNTBLANK(O808:AJ808))&amp;" datos obligatorios",IF(NOT(ISNUMBER(B808)),"Fecha no válida",IF(N(B808)&gt;TODAY(),"Fecha futura",IF(IFERROR(VLOOKUP(E808,LISTAS!$A$2:$C$65,3,FALSE),"")&lt;&gt;D808,"La subregión no corresponde al municipio",IF(IF(L808="",FALSE,OR(L808&lt;0,L808&gt;110)),"Edad fuera de rango",IF((V808="Sí")+(W808="Sí")+(X808="Sí")+(Y808="Sí")=0,"Marque al menos un tipo de violencia","OK")))))))</f>
        <v/>
      </c>
    </row>
    <row r="809">
      <c r="A809" s="12">
        <f>IF(OR(F809="",F809="Revisar",C809=""),"",F809&amp;"-"&amp;C809&amp;"-"&amp;TEXT(COUNTIFS($F$2:F809,F809,$C$2:C809,C809),"0000"))</f>
        <v/>
      </c>
      <c r="B809" s="13" t="n"/>
      <c r="C809" s="12">
        <f>IF(ISNUMBER(B809),YEAR(B809),"")</f>
        <v/>
      </c>
      <c r="D809" s="14" t="n"/>
      <c r="E809" s="14" t="n"/>
      <c r="F809" s="12">
        <f>IF(E809="","",IFERROR(VLOOKUP(E809,LISTAS!$A$2:$C$65,2,FALSE),"Revisar"))</f>
        <v/>
      </c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2">
        <f>IF(COUNTA(B809:B809)+COUNTA(D809:E809)+COUNTA(G809:AJ809)=0,"",IF(COUNTBLANK(B809:B809)+COUNTBLANK(D809:E809)+COUNTBLANK(G809:G809)+COUNTBLANK(O809:AJ809)&gt;0,"Faltan "&amp;(COUNTBLANK(B809:B809)+COUNTBLANK(D809:E809)+COUNTBLANK(G809:G809)+COUNTBLANK(O809:AJ809))&amp;" datos obligatorios",IF(NOT(ISNUMBER(B809)),"Fecha no válida",IF(N(B809)&gt;TODAY(),"Fecha futura",IF(IFERROR(VLOOKUP(E809,LISTAS!$A$2:$C$65,3,FALSE),"")&lt;&gt;D809,"La subregión no corresponde al municipio",IF(IF(L809="",FALSE,OR(L809&lt;0,L809&gt;110)),"Edad fuera de rango",IF((V809="Sí")+(W809="Sí")+(X809="Sí")+(Y809="Sí")=0,"Marque al menos un tipo de violencia","OK")))))))</f>
        <v/>
      </c>
    </row>
    <row r="810">
      <c r="A810" s="12">
        <f>IF(OR(F810="",F810="Revisar",C810=""),"",F810&amp;"-"&amp;C810&amp;"-"&amp;TEXT(COUNTIFS($F$2:F810,F810,$C$2:C810,C810),"0000"))</f>
        <v/>
      </c>
      <c r="B810" s="13" t="n"/>
      <c r="C810" s="12">
        <f>IF(ISNUMBER(B810),YEAR(B810),"")</f>
        <v/>
      </c>
      <c r="D810" s="14" t="n"/>
      <c r="E810" s="14" t="n"/>
      <c r="F810" s="12">
        <f>IF(E810="","",IFERROR(VLOOKUP(E810,LISTAS!$A$2:$C$65,2,FALSE),"Revisar"))</f>
        <v/>
      </c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2">
        <f>IF(COUNTA(B810:B810)+COUNTA(D810:E810)+COUNTA(G810:AJ810)=0,"",IF(COUNTBLANK(B810:B810)+COUNTBLANK(D810:E810)+COUNTBLANK(G810:G810)+COUNTBLANK(O810:AJ810)&gt;0,"Faltan "&amp;(COUNTBLANK(B810:B810)+COUNTBLANK(D810:E810)+COUNTBLANK(G810:G810)+COUNTBLANK(O810:AJ810))&amp;" datos obligatorios",IF(NOT(ISNUMBER(B810)),"Fecha no válida",IF(N(B810)&gt;TODAY(),"Fecha futura",IF(IFERROR(VLOOKUP(E810,LISTAS!$A$2:$C$65,3,FALSE),"")&lt;&gt;D810,"La subregión no corresponde al municipio",IF(IF(L810="",FALSE,OR(L810&lt;0,L810&gt;110)),"Edad fuera de rango",IF((V810="Sí")+(W810="Sí")+(X810="Sí")+(Y810="Sí")=0,"Marque al menos un tipo de violencia","OK")))))))</f>
        <v/>
      </c>
    </row>
    <row r="811">
      <c r="A811" s="12">
        <f>IF(OR(F811="",F811="Revisar",C811=""),"",F811&amp;"-"&amp;C811&amp;"-"&amp;TEXT(COUNTIFS($F$2:F811,F811,$C$2:C811,C811),"0000"))</f>
        <v/>
      </c>
      <c r="B811" s="13" t="n"/>
      <c r="C811" s="12">
        <f>IF(ISNUMBER(B811),YEAR(B811),"")</f>
        <v/>
      </c>
      <c r="D811" s="14" t="n"/>
      <c r="E811" s="14" t="n"/>
      <c r="F811" s="12">
        <f>IF(E811="","",IFERROR(VLOOKUP(E811,LISTAS!$A$2:$C$65,2,FALSE),"Revisar"))</f>
        <v/>
      </c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2">
        <f>IF(COUNTA(B811:B811)+COUNTA(D811:E811)+COUNTA(G811:AJ811)=0,"",IF(COUNTBLANK(B811:B811)+COUNTBLANK(D811:E811)+COUNTBLANK(G811:G811)+COUNTBLANK(O811:AJ811)&gt;0,"Faltan "&amp;(COUNTBLANK(B811:B811)+COUNTBLANK(D811:E811)+COUNTBLANK(G811:G811)+COUNTBLANK(O811:AJ811))&amp;" datos obligatorios",IF(NOT(ISNUMBER(B811)),"Fecha no válida",IF(N(B811)&gt;TODAY(),"Fecha futura",IF(IFERROR(VLOOKUP(E811,LISTAS!$A$2:$C$65,3,FALSE),"")&lt;&gt;D811,"La subregión no corresponde al municipio",IF(IF(L811="",FALSE,OR(L811&lt;0,L811&gt;110)),"Edad fuera de rango",IF((V811="Sí")+(W811="Sí")+(X811="Sí")+(Y811="Sí")=0,"Marque al menos un tipo de violencia","OK")))))))</f>
        <v/>
      </c>
    </row>
    <row r="812">
      <c r="A812" s="12">
        <f>IF(OR(F812="",F812="Revisar",C812=""),"",F812&amp;"-"&amp;C812&amp;"-"&amp;TEXT(COUNTIFS($F$2:F812,F812,$C$2:C812,C812),"0000"))</f>
        <v/>
      </c>
      <c r="B812" s="13" t="n"/>
      <c r="C812" s="12">
        <f>IF(ISNUMBER(B812),YEAR(B812),"")</f>
        <v/>
      </c>
      <c r="D812" s="14" t="n"/>
      <c r="E812" s="14" t="n"/>
      <c r="F812" s="12">
        <f>IF(E812="","",IFERROR(VLOOKUP(E812,LISTAS!$A$2:$C$65,2,FALSE),"Revisar"))</f>
        <v/>
      </c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2">
        <f>IF(COUNTA(B812:B812)+COUNTA(D812:E812)+COUNTA(G812:AJ812)=0,"",IF(COUNTBLANK(B812:B812)+COUNTBLANK(D812:E812)+COUNTBLANK(G812:G812)+COUNTBLANK(O812:AJ812)&gt;0,"Faltan "&amp;(COUNTBLANK(B812:B812)+COUNTBLANK(D812:E812)+COUNTBLANK(G812:G812)+COUNTBLANK(O812:AJ812))&amp;" datos obligatorios",IF(NOT(ISNUMBER(B812)),"Fecha no válida",IF(N(B812)&gt;TODAY(),"Fecha futura",IF(IFERROR(VLOOKUP(E812,LISTAS!$A$2:$C$65,3,FALSE),"")&lt;&gt;D812,"La subregión no corresponde al municipio",IF(IF(L812="",FALSE,OR(L812&lt;0,L812&gt;110)),"Edad fuera de rango",IF((V812="Sí")+(W812="Sí")+(X812="Sí")+(Y812="Sí")=0,"Marque al menos un tipo de violencia","OK")))))))</f>
        <v/>
      </c>
    </row>
    <row r="813">
      <c r="A813" s="12">
        <f>IF(OR(F813="",F813="Revisar",C813=""),"",F813&amp;"-"&amp;C813&amp;"-"&amp;TEXT(COUNTIFS($F$2:F813,F813,$C$2:C813,C813),"0000"))</f>
        <v/>
      </c>
      <c r="B813" s="13" t="n"/>
      <c r="C813" s="12">
        <f>IF(ISNUMBER(B813),YEAR(B813),"")</f>
        <v/>
      </c>
      <c r="D813" s="14" t="n"/>
      <c r="E813" s="14" t="n"/>
      <c r="F813" s="12">
        <f>IF(E813="","",IFERROR(VLOOKUP(E813,LISTAS!$A$2:$C$65,2,FALSE),"Revisar"))</f>
        <v/>
      </c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2">
        <f>IF(COUNTA(B813:B813)+COUNTA(D813:E813)+COUNTA(G813:AJ813)=0,"",IF(COUNTBLANK(B813:B813)+COUNTBLANK(D813:E813)+COUNTBLANK(G813:G813)+COUNTBLANK(O813:AJ813)&gt;0,"Faltan "&amp;(COUNTBLANK(B813:B813)+COUNTBLANK(D813:E813)+COUNTBLANK(G813:G813)+COUNTBLANK(O813:AJ813))&amp;" datos obligatorios",IF(NOT(ISNUMBER(B813)),"Fecha no válida",IF(N(B813)&gt;TODAY(),"Fecha futura",IF(IFERROR(VLOOKUP(E813,LISTAS!$A$2:$C$65,3,FALSE),"")&lt;&gt;D813,"La subregión no corresponde al municipio",IF(IF(L813="",FALSE,OR(L813&lt;0,L813&gt;110)),"Edad fuera de rango",IF((V813="Sí")+(W813="Sí")+(X813="Sí")+(Y813="Sí")=0,"Marque al menos un tipo de violencia","OK")))))))</f>
        <v/>
      </c>
    </row>
    <row r="814">
      <c r="A814" s="12">
        <f>IF(OR(F814="",F814="Revisar",C814=""),"",F814&amp;"-"&amp;C814&amp;"-"&amp;TEXT(COUNTIFS($F$2:F814,F814,$C$2:C814,C814),"0000"))</f>
        <v/>
      </c>
      <c r="B814" s="13" t="n"/>
      <c r="C814" s="12">
        <f>IF(ISNUMBER(B814),YEAR(B814),"")</f>
        <v/>
      </c>
      <c r="D814" s="14" t="n"/>
      <c r="E814" s="14" t="n"/>
      <c r="F814" s="12">
        <f>IF(E814="","",IFERROR(VLOOKUP(E814,LISTAS!$A$2:$C$65,2,FALSE),"Revisar"))</f>
        <v/>
      </c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2">
        <f>IF(COUNTA(B814:B814)+COUNTA(D814:E814)+COUNTA(G814:AJ814)=0,"",IF(COUNTBLANK(B814:B814)+COUNTBLANK(D814:E814)+COUNTBLANK(G814:G814)+COUNTBLANK(O814:AJ814)&gt;0,"Faltan "&amp;(COUNTBLANK(B814:B814)+COUNTBLANK(D814:E814)+COUNTBLANK(G814:G814)+COUNTBLANK(O814:AJ814))&amp;" datos obligatorios",IF(NOT(ISNUMBER(B814)),"Fecha no válida",IF(N(B814)&gt;TODAY(),"Fecha futura",IF(IFERROR(VLOOKUP(E814,LISTAS!$A$2:$C$65,3,FALSE),"")&lt;&gt;D814,"La subregión no corresponde al municipio",IF(IF(L814="",FALSE,OR(L814&lt;0,L814&gt;110)),"Edad fuera de rango",IF((V814="Sí")+(W814="Sí")+(X814="Sí")+(Y814="Sí")=0,"Marque al menos un tipo de violencia","OK")))))))</f>
        <v/>
      </c>
    </row>
    <row r="815">
      <c r="A815" s="12">
        <f>IF(OR(F815="",F815="Revisar",C815=""),"",F815&amp;"-"&amp;C815&amp;"-"&amp;TEXT(COUNTIFS($F$2:F815,F815,$C$2:C815,C815),"0000"))</f>
        <v/>
      </c>
      <c r="B815" s="13" t="n"/>
      <c r="C815" s="12">
        <f>IF(ISNUMBER(B815),YEAR(B815),"")</f>
        <v/>
      </c>
      <c r="D815" s="14" t="n"/>
      <c r="E815" s="14" t="n"/>
      <c r="F815" s="12">
        <f>IF(E815="","",IFERROR(VLOOKUP(E815,LISTAS!$A$2:$C$65,2,FALSE),"Revisar"))</f>
        <v/>
      </c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2">
        <f>IF(COUNTA(B815:B815)+COUNTA(D815:E815)+COUNTA(G815:AJ815)=0,"",IF(COUNTBLANK(B815:B815)+COUNTBLANK(D815:E815)+COUNTBLANK(G815:G815)+COUNTBLANK(O815:AJ815)&gt;0,"Faltan "&amp;(COUNTBLANK(B815:B815)+COUNTBLANK(D815:E815)+COUNTBLANK(G815:G815)+COUNTBLANK(O815:AJ815))&amp;" datos obligatorios",IF(NOT(ISNUMBER(B815)),"Fecha no válida",IF(N(B815)&gt;TODAY(),"Fecha futura",IF(IFERROR(VLOOKUP(E815,LISTAS!$A$2:$C$65,3,FALSE),"")&lt;&gt;D815,"La subregión no corresponde al municipio",IF(IF(L815="",FALSE,OR(L815&lt;0,L815&gt;110)),"Edad fuera de rango",IF((V815="Sí")+(W815="Sí")+(X815="Sí")+(Y815="Sí")=0,"Marque al menos un tipo de violencia","OK")))))))</f>
        <v/>
      </c>
    </row>
    <row r="816">
      <c r="A816" s="12">
        <f>IF(OR(F816="",F816="Revisar",C816=""),"",F816&amp;"-"&amp;C816&amp;"-"&amp;TEXT(COUNTIFS($F$2:F816,F816,$C$2:C816,C816),"0000"))</f>
        <v/>
      </c>
      <c r="B816" s="13" t="n"/>
      <c r="C816" s="12">
        <f>IF(ISNUMBER(B816),YEAR(B816),"")</f>
        <v/>
      </c>
      <c r="D816" s="14" t="n"/>
      <c r="E816" s="14" t="n"/>
      <c r="F816" s="12">
        <f>IF(E816="","",IFERROR(VLOOKUP(E816,LISTAS!$A$2:$C$65,2,FALSE),"Revisar"))</f>
        <v/>
      </c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2">
        <f>IF(COUNTA(B816:B816)+COUNTA(D816:E816)+COUNTA(G816:AJ816)=0,"",IF(COUNTBLANK(B816:B816)+COUNTBLANK(D816:E816)+COUNTBLANK(G816:G816)+COUNTBLANK(O816:AJ816)&gt;0,"Faltan "&amp;(COUNTBLANK(B816:B816)+COUNTBLANK(D816:E816)+COUNTBLANK(G816:G816)+COUNTBLANK(O816:AJ816))&amp;" datos obligatorios",IF(NOT(ISNUMBER(B816)),"Fecha no válida",IF(N(B816)&gt;TODAY(),"Fecha futura",IF(IFERROR(VLOOKUP(E816,LISTAS!$A$2:$C$65,3,FALSE),"")&lt;&gt;D816,"La subregión no corresponde al municipio",IF(IF(L816="",FALSE,OR(L816&lt;0,L816&gt;110)),"Edad fuera de rango",IF((V816="Sí")+(W816="Sí")+(X816="Sí")+(Y816="Sí")=0,"Marque al menos un tipo de violencia","OK")))))))</f>
        <v/>
      </c>
    </row>
    <row r="817">
      <c r="A817" s="12">
        <f>IF(OR(F817="",F817="Revisar",C817=""),"",F817&amp;"-"&amp;C817&amp;"-"&amp;TEXT(COUNTIFS($F$2:F817,F817,$C$2:C817,C817),"0000"))</f>
        <v/>
      </c>
      <c r="B817" s="13" t="n"/>
      <c r="C817" s="12">
        <f>IF(ISNUMBER(B817),YEAR(B817),"")</f>
        <v/>
      </c>
      <c r="D817" s="14" t="n"/>
      <c r="E817" s="14" t="n"/>
      <c r="F817" s="12">
        <f>IF(E817="","",IFERROR(VLOOKUP(E817,LISTAS!$A$2:$C$65,2,FALSE),"Revisar"))</f>
        <v/>
      </c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2">
        <f>IF(COUNTA(B817:B817)+COUNTA(D817:E817)+COUNTA(G817:AJ817)=0,"",IF(COUNTBLANK(B817:B817)+COUNTBLANK(D817:E817)+COUNTBLANK(G817:G817)+COUNTBLANK(O817:AJ817)&gt;0,"Faltan "&amp;(COUNTBLANK(B817:B817)+COUNTBLANK(D817:E817)+COUNTBLANK(G817:G817)+COUNTBLANK(O817:AJ817))&amp;" datos obligatorios",IF(NOT(ISNUMBER(B817)),"Fecha no válida",IF(N(B817)&gt;TODAY(),"Fecha futura",IF(IFERROR(VLOOKUP(E817,LISTAS!$A$2:$C$65,3,FALSE),"")&lt;&gt;D817,"La subregión no corresponde al municipio",IF(IF(L817="",FALSE,OR(L817&lt;0,L817&gt;110)),"Edad fuera de rango",IF((V817="Sí")+(W817="Sí")+(X817="Sí")+(Y817="Sí")=0,"Marque al menos un tipo de violencia","OK")))))))</f>
        <v/>
      </c>
    </row>
    <row r="818">
      <c r="A818" s="12">
        <f>IF(OR(F818="",F818="Revisar",C818=""),"",F818&amp;"-"&amp;C818&amp;"-"&amp;TEXT(COUNTIFS($F$2:F818,F818,$C$2:C818,C818),"0000"))</f>
        <v/>
      </c>
      <c r="B818" s="13" t="n"/>
      <c r="C818" s="12">
        <f>IF(ISNUMBER(B818),YEAR(B818),"")</f>
        <v/>
      </c>
      <c r="D818" s="14" t="n"/>
      <c r="E818" s="14" t="n"/>
      <c r="F818" s="12">
        <f>IF(E818="","",IFERROR(VLOOKUP(E818,LISTAS!$A$2:$C$65,2,FALSE),"Revisar"))</f>
        <v/>
      </c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2">
        <f>IF(COUNTA(B818:B818)+COUNTA(D818:E818)+COUNTA(G818:AJ818)=0,"",IF(COUNTBLANK(B818:B818)+COUNTBLANK(D818:E818)+COUNTBLANK(G818:G818)+COUNTBLANK(O818:AJ818)&gt;0,"Faltan "&amp;(COUNTBLANK(B818:B818)+COUNTBLANK(D818:E818)+COUNTBLANK(G818:G818)+COUNTBLANK(O818:AJ818))&amp;" datos obligatorios",IF(NOT(ISNUMBER(B818)),"Fecha no válida",IF(N(B818)&gt;TODAY(),"Fecha futura",IF(IFERROR(VLOOKUP(E818,LISTAS!$A$2:$C$65,3,FALSE),"")&lt;&gt;D818,"La subregión no corresponde al municipio",IF(IF(L818="",FALSE,OR(L818&lt;0,L818&gt;110)),"Edad fuera de rango",IF((V818="Sí")+(W818="Sí")+(X818="Sí")+(Y818="Sí")=0,"Marque al menos un tipo de violencia","OK")))))))</f>
        <v/>
      </c>
    </row>
    <row r="819">
      <c r="A819" s="12">
        <f>IF(OR(F819="",F819="Revisar",C819=""),"",F819&amp;"-"&amp;C819&amp;"-"&amp;TEXT(COUNTIFS($F$2:F819,F819,$C$2:C819,C819),"0000"))</f>
        <v/>
      </c>
      <c r="B819" s="13" t="n"/>
      <c r="C819" s="12">
        <f>IF(ISNUMBER(B819),YEAR(B819),"")</f>
        <v/>
      </c>
      <c r="D819" s="14" t="n"/>
      <c r="E819" s="14" t="n"/>
      <c r="F819" s="12">
        <f>IF(E819="","",IFERROR(VLOOKUP(E819,LISTAS!$A$2:$C$65,2,FALSE),"Revisar"))</f>
        <v/>
      </c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2">
        <f>IF(COUNTA(B819:B819)+COUNTA(D819:E819)+COUNTA(G819:AJ819)=0,"",IF(COUNTBLANK(B819:B819)+COUNTBLANK(D819:E819)+COUNTBLANK(G819:G819)+COUNTBLANK(O819:AJ819)&gt;0,"Faltan "&amp;(COUNTBLANK(B819:B819)+COUNTBLANK(D819:E819)+COUNTBLANK(G819:G819)+COUNTBLANK(O819:AJ819))&amp;" datos obligatorios",IF(NOT(ISNUMBER(B819)),"Fecha no válida",IF(N(B819)&gt;TODAY(),"Fecha futura",IF(IFERROR(VLOOKUP(E819,LISTAS!$A$2:$C$65,3,FALSE),"")&lt;&gt;D819,"La subregión no corresponde al municipio",IF(IF(L819="",FALSE,OR(L819&lt;0,L819&gt;110)),"Edad fuera de rango",IF((V819="Sí")+(W819="Sí")+(X819="Sí")+(Y819="Sí")=0,"Marque al menos un tipo de violencia","OK")))))))</f>
        <v/>
      </c>
    </row>
    <row r="820">
      <c r="A820" s="12">
        <f>IF(OR(F820="",F820="Revisar",C820=""),"",F820&amp;"-"&amp;C820&amp;"-"&amp;TEXT(COUNTIFS($F$2:F820,F820,$C$2:C820,C820),"0000"))</f>
        <v/>
      </c>
      <c r="B820" s="13" t="n"/>
      <c r="C820" s="12">
        <f>IF(ISNUMBER(B820),YEAR(B820),"")</f>
        <v/>
      </c>
      <c r="D820" s="14" t="n"/>
      <c r="E820" s="14" t="n"/>
      <c r="F820" s="12">
        <f>IF(E820="","",IFERROR(VLOOKUP(E820,LISTAS!$A$2:$C$65,2,FALSE),"Revisar"))</f>
        <v/>
      </c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2">
        <f>IF(COUNTA(B820:B820)+COUNTA(D820:E820)+COUNTA(G820:AJ820)=0,"",IF(COUNTBLANK(B820:B820)+COUNTBLANK(D820:E820)+COUNTBLANK(G820:G820)+COUNTBLANK(O820:AJ820)&gt;0,"Faltan "&amp;(COUNTBLANK(B820:B820)+COUNTBLANK(D820:E820)+COUNTBLANK(G820:G820)+COUNTBLANK(O820:AJ820))&amp;" datos obligatorios",IF(NOT(ISNUMBER(B820)),"Fecha no válida",IF(N(B820)&gt;TODAY(),"Fecha futura",IF(IFERROR(VLOOKUP(E820,LISTAS!$A$2:$C$65,3,FALSE),"")&lt;&gt;D820,"La subregión no corresponde al municipio",IF(IF(L820="",FALSE,OR(L820&lt;0,L820&gt;110)),"Edad fuera de rango",IF((V820="Sí")+(W820="Sí")+(X820="Sí")+(Y820="Sí")=0,"Marque al menos un tipo de violencia","OK")))))))</f>
        <v/>
      </c>
    </row>
    <row r="821">
      <c r="A821" s="12">
        <f>IF(OR(F821="",F821="Revisar",C821=""),"",F821&amp;"-"&amp;C821&amp;"-"&amp;TEXT(COUNTIFS($F$2:F821,F821,$C$2:C821,C821),"0000"))</f>
        <v/>
      </c>
      <c r="B821" s="13" t="n"/>
      <c r="C821" s="12">
        <f>IF(ISNUMBER(B821),YEAR(B821),"")</f>
        <v/>
      </c>
      <c r="D821" s="14" t="n"/>
      <c r="E821" s="14" t="n"/>
      <c r="F821" s="12">
        <f>IF(E821="","",IFERROR(VLOOKUP(E821,LISTAS!$A$2:$C$65,2,FALSE),"Revisar"))</f>
        <v/>
      </c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2">
        <f>IF(COUNTA(B821:B821)+COUNTA(D821:E821)+COUNTA(G821:AJ821)=0,"",IF(COUNTBLANK(B821:B821)+COUNTBLANK(D821:E821)+COUNTBLANK(G821:G821)+COUNTBLANK(O821:AJ821)&gt;0,"Faltan "&amp;(COUNTBLANK(B821:B821)+COUNTBLANK(D821:E821)+COUNTBLANK(G821:G821)+COUNTBLANK(O821:AJ821))&amp;" datos obligatorios",IF(NOT(ISNUMBER(B821)),"Fecha no válida",IF(N(B821)&gt;TODAY(),"Fecha futura",IF(IFERROR(VLOOKUP(E821,LISTAS!$A$2:$C$65,3,FALSE),"")&lt;&gt;D821,"La subregión no corresponde al municipio",IF(IF(L821="",FALSE,OR(L821&lt;0,L821&gt;110)),"Edad fuera de rango",IF((V821="Sí")+(W821="Sí")+(X821="Sí")+(Y821="Sí")=0,"Marque al menos un tipo de violencia","OK")))))))</f>
        <v/>
      </c>
    </row>
    <row r="822">
      <c r="A822" s="12">
        <f>IF(OR(F822="",F822="Revisar",C822=""),"",F822&amp;"-"&amp;C822&amp;"-"&amp;TEXT(COUNTIFS($F$2:F822,F822,$C$2:C822,C822),"0000"))</f>
        <v/>
      </c>
      <c r="B822" s="13" t="n"/>
      <c r="C822" s="12">
        <f>IF(ISNUMBER(B822),YEAR(B822),"")</f>
        <v/>
      </c>
      <c r="D822" s="14" t="n"/>
      <c r="E822" s="14" t="n"/>
      <c r="F822" s="12">
        <f>IF(E822="","",IFERROR(VLOOKUP(E822,LISTAS!$A$2:$C$65,2,FALSE),"Revisar"))</f>
        <v/>
      </c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2">
        <f>IF(COUNTA(B822:B822)+COUNTA(D822:E822)+COUNTA(G822:AJ822)=0,"",IF(COUNTBLANK(B822:B822)+COUNTBLANK(D822:E822)+COUNTBLANK(G822:G822)+COUNTBLANK(O822:AJ822)&gt;0,"Faltan "&amp;(COUNTBLANK(B822:B822)+COUNTBLANK(D822:E822)+COUNTBLANK(G822:G822)+COUNTBLANK(O822:AJ822))&amp;" datos obligatorios",IF(NOT(ISNUMBER(B822)),"Fecha no válida",IF(N(B822)&gt;TODAY(),"Fecha futura",IF(IFERROR(VLOOKUP(E822,LISTAS!$A$2:$C$65,3,FALSE),"")&lt;&gt;D822,"La subregión no corresponde al municipio",IF(IF(L822="",FALSE,OR(L822&lt;0,L822&gt;110)),"Edad fuera de rango",IF((V822="Sí")+(W822="Sí")+(X822="Sí")+(Y822="Sí")=0,"Marque al menos un tipo de violencia","OK")))))))</f>
        <v/>
      </c>
    </row>
    <row r="823">
      <c r="A823" s="12">
        <f>IF(OR(F823="",F823="Revisar",C823=""),"",F823&amp;"-"&amp;C823&amp;"-"&amp;TEXT(COUNTIFS($F$2:F823,F823,$C$2:C823,C823),"0000"))</f>
        <v/>
      </c>
      <c r="B823" s="13" t="n"/>
      <c r="C823" s="12">
        <f>IF(ISNUMBER(B823),YEAR(B823),"")</f>
        <v/>
      </c>
      <c r="D823" s="14" t="n"/>
      <c r="E823" s="14" t="n"/>
      <c r="F823" s="12">
        <f>IF(E823="","",IFERROR(VLOOKUP(E823,LISTAS!$A$2:$C$65,2,FALSE),"Revisar"))</f>
        <v/>
      </c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2">
        <f>IF(COUNTA(B823:B823)+COUNTA(D823:E823)+COUNTA(G823:AJ823)=0,"",IF(COUNTBLANK(B823:B823)+COUNTBLANK(D823:E823)+COUNTBLANK(G823:G823)+COUNTBLANK(O823:AJ823)&gt;0,"Faltan "&amp;(COUNTBLANK(B823:B823)+COUNTBLANK(D823:E823)+COUNTBLANK(G823:G823)+COUNTBLANK(O823:AJ823))&amp;" datos obligatorios",IF(NOT(ISNUMBER(B823)),"Fecha no válida",IF(N(B823)&gt;TODAY(),"Fecha futura",IF(IFERROR(VLOOKUP(E823,LISTAS!$A$2:$C$65,3,FALSE),"")&lt;&gt;D823,"La subregión no corresponde al municipio",IF(IF(L823="",FALSE,OR(L823&lt;0,L823&gt;110)),"Edad fuera de rango",IF((V823="Sí")+(W823="Sí")+(X823="Sí")+(Y823="Sí")=0,"Marque al menos un tipo de violencia","OK")))))))</f>
        <v/>
      </c>
    </row>
    <row r="824">
      <c r="A824" s="12">
        <f>IF(OR(F824="",F824="Revisar",C824=""),"",F824&amp;"-"&amp;C824&amp;"-"&amp;TEXT(COUNTIFS($F$2:F824,F824,$C$2:C824,C824),"0000"))</f>
        <v/>
      </c>
      <c r="B824" s="13" t="n"/>
      <c r="C824" s="12">
        <f>IF(ISNUMBER(B824),YEAR(B824),"")</f>
        <v/>
      </c>
      <c r="D824" s="14" t="n"/>
      <c r="E824" s="14" t="n"/>
      <c r="F824" s="12">
        <f>IF(E824="","",IFERROR(VLOOKUP(E824,LISTAS!$A$2:$C$65,2,FALSE),"Revisar"))</f>
        <v/>
      </c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2">
        <f>IF(COUNTA(B824:B824)+COUNTA(D824:E824)+COUNTA(G824:AJ824)=0,"",IF(COUNTBLANK(B824:B824)+COUNTBLANK(D824:E824)+COUNTBLANK(G824:G824)+COUNTBLANK(O824:AJ824)&gt;0,"Faltan "&amp;(COUNTBLANK(B824:B824)+COUNTBLANK(D824:E824)+COUNTBLANK(G824:G824)+COUNTBLANK(O824:AJ824))&amp;" datos obligatorios",IF(NOT(ISNUMBER(B824)),"Fecha no válida",IF(N(B824)&gt;TODAY(),"Fecha futura",IF(IFERROR(VLOOKUP(E824,LISTAS!$A$2:$C$65,3,FALSE),"")&lt;&gt;D824,"La subregión no corresponde al municipio",IF(IF(L824="",FALSE,OR(L824&lt;0,L824&gt;110)),"Edad fuera de rango",IF((V824="Sí")+(W824="Sí")+(X824="Sí")+(Y824="Sí")=0,"Marque al menos un tipo de violencia","OK")))))))</f>
        <v/>
      </c>
    </row>
    <row r="825">
      <c r="A825" s="12">
        <f>IF(OR(F825="",F825="Revisar",C825=""),"",F825&amp;"-"&amp;C825&amp;"-"&amp;TEXT(COUNTIFS($F$2:F825,F825,$C$2:C825,C825),"0000"))</f>
        <v/>
      </c>
      <c r="B825" s="13" t="n"/>
      <c r="C825" s="12">
        <f>IF(ISNUMBER(B825),YEAR(B825),"")</f>
        <v/>
      </c>
      <c r="D825" s="14" t="n"/>
      <c r="E825" s="14" t="n"/>
      <c r="F825" s="12">
        <f>IF(E825="","",IFERROR(VLOOKUP(E825,LISTAS!$A$2:$C$65,2,FALSE),"Revisar"))</f>
        <v/>
      </c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2">
        <f>IF(COUNTA(B825:B825)+COUNTA(D825:E825)+COUNTA(G825:AJ825)=0,"",IF(COUNTBLANK(B825:B825)+COUNTBLANK(D825:E825)+COUNTBLANK(G825:G825)+COUNTBLANK(O825:AJ825)&gt;0,"Faltan "&amp;(COUNTBLANK(B825:B825)+COUNTBLANK(D825:E825)+COUNTBLANK(G825:G825)+COUNTBLANK(O825:AJ825))&amp;" datos obligatorios",IF(NOT(ISNUMBER(B825)),"Fecha no válida",IF(N(B825)&gt;TODAY(),"Fecha futura",IF(IFERROR(VLOOKUP(E825,LISTAS!$A$2:$C$65,3,FALSE),"")&lt;&gt;D825,"La subregión no corresponde al municipio",IF(IF(L825="",FALSE,OR(L825&lt;0,L825&gt;110)),"Edad fuera de rango",IF((V825="Sí")+(W825="Sí")+(X825="Sí")+(Y825="Sí")=0,"Marque al menos un tipo de violencia","OK")))))))</f>
        <v/>
      </c>
    </row>
    <row r="826">
      <c r="A826" s="12">
        <f>IF(OR(F826="",F826="Revisar",C826=""),"",F826&amp;"-"&amp;C826&amp;"-"&amp;TEXT(COUNTIFS($F$2:F826,F826,$C$2:C826,C826),"0000"))</f>
        <v/>
      </c>
      <c r="B826" s="13" t="n"/>
      <c r="C826" s="12">
        <f>IF(ISNUMBER(B826),YEAR(B826),"")</f>
        <v/>
      </c>
      <c r="D826" s="14" t="n"/>
      <c r="E826" s="14" t="n"/>
      <c r="F826" s="12">
        <f>IF(E826="","",IFERROR(VLOOKUP(E826,LISTAS!$A$2:$C$65,2,FALSE),"Revisar"))</f>
        <v/>
      </c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2">
        <f>IF(COUNTA(B826:B826)+COUNTA(D826:E826)+COUNTA(G826:AJ826)=0,"",IF(COUNTBLANK(B826:B826)+COUNTBLANK(D826:E826)+COUNTBLANK(G826:G826)+COUNTBLANK(O826:AJ826)&gt;0,"Faltan "&amp;(COUNTBLANK(B826:B826)+COUNTBLANK(D826:E826)+COUNTBLANK(G826:G826)+COUNTBLANK(O826:AJ826))&amp;" datos obligatorios",IF(NOT(ISNUMBER(B826)),"Fecha no válida",IF(N(B826)&gt;TODAY(),"Fecha futura",IF(IFERROR(VLOOKUP(E826,LISTAS!$A$2:$C$65,3,FALSE),"")&lt;&gt;D826,"La subregión no corresponde al municipio",IF(IF(L826="",FALSE,OR(L826&lt;0,L826&gt;110)),"Edad fuera de rango",IF((V826="Sí")+(W826="Sí")+(X826="Sí")+(Y826="Sí")=0,"Marque al menos un tipo de violencia","OK")))))))</f>
        <v/>
      </c>
    </row>
    <row r="827">
      <c r="A827" s="12">
        <f>IF(OR(F827="",F827="Revisar",C827=""),"",F827&amp;"-"&amp;C827&amp;"-"&amp;TEXT(COUNTIFS($F$2:F827,F827,$C$2:C827,C827),"0000"))</f>
        <v/>
      </c>
      <c r="B827" s="13" t="n"/>
      <c r="C827" s="12">
        <f>IF(ISNUMBER(B827),YEAR(B827),"")</f>
        <v/>
      </c>
      <c r="D827" s="14" t="n"/>
      <c r="E827" s="14" t="n"/>
      <c r="F827" s="12">
        <f>IF(E827="","",IFERROR(VLOOKUP(E827,LISTAS!$A$2:$C$65,2,FALSE),"Revisar"))</f>
        <v/>
      </c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2">
        <f>IF(COUNTA(B827:B827)+COUNTA(D827:E827)+COUNTA(G827:AJ827)=0,"",IF(COUNTBLANK(B827:B827)+COUNTBLANK(D827:E827)+COUNTBLANK(G827:G827)+COUNTBLANK(O827:AJ827)&gt;0,"Faltan "&amp;(COUNTBLANK(B827:B827)+COUNTBLANK(D827:E827)+COUNTBLANK(G827:G827)+COUNTBLANK(O827:AJ827))&amp;" datos obligatorios",IF(NOT(ISNUMBER(B827)),"Fecha no válida",IF(N(B827)&gt;TODAY(),"Fecha futura",IF(IFERROR(VLOOKUP(E827,LISTAS!$A$2:$C$65,3,FALSE),"")&lt;&gt;D827,"La subregión no corresponde al municipio",IF(IF(L827="",FALSE,OR(L827&lt;0,L827&gt;110)),"Edad fuera de rango",IF((V827="Sí")+(W827="Sí")+(X827="Sí")+(Y827="Sí")=0,"Marque al menos un tipo de violencia","OK")))))))</f>
        <v/>
      </c>
    </row>
    <row r="828">
      <c r="A828" s="12">
        <f>IF(OR(F828="",F828="Revisar",C828=""),"",F828&amp;"-"&amp;C828&amp;"-"&amp;TEXT(COUNTIFS($F$2:F828,F828,$C$2:C828,C828),"0000"))</f>
        <v/>
      </c>
      <c r="B828" s="13" t="n"/>
      <c r="C828" s="12">
        <f>IF(ISNUMBER(B828),YEAR(B828),"")</f>
        <v/>
      </c>
      <c r="D828" s="14" t="n"/>
      <c r="E828" s="14" t="n"/>
      <c r="F828" s="12">
        <f>IF(E828="","",IFERROR(VLOOKUP(E828,LISTAS!$A$2:$C$65,2,FALSE),"Revisar"))</f>
        <v/>
      </c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2">
        <f>IF(COUNTA(B828:B828)+COUNTA(D828:E828)+COUNTA(G828:AJ828)=0,"",IF(COUNTBLANK(B828:B828)+COUNTBLANK(D828:E828)+COUNTBLANK(G828:G828)+COUNTBLANK(O828:AJ828)&gt;0,"Faltan "&amp;(COUNTBLANK(B828:B828)+COUNTBLANK(D828:E828)+COUNTBLANK(G828:G828)+COUNTBLANK(O828:AJ828))&amp;" datos obligatorios",IF(NOT(ISNUMBER(B828)),"Fecha no válida",IF(N(B828)&gt;TODAY(),"Fecha futura",IF(IFERROR(VLOOKUP(E828,LISTAS!$A$2:$C$65,3,FALSE),"")&lt;&gt;D828,"La subregión no corresponde al municipio",IF(IF(L828="",FALSE,OR(L828&lt;0,L828&gt;110)),"Edad fuera de rango",IF((V828="Sí")+(W828="Sí")+(X828="Sí")+(Y828="Sí")=0,"Marque al menos un tipo de violencia","OK")))))))</f>
        <v/>
      </c>
    </row>
    <row r="829">
      <c r="A829" s="12">
        <f>IF(OR(F829="",F829="Revisar",C829=""),"",F829&amp;"-"&amp;C829&amp;"-"&amp;TEXT(COUNTIFS($F$2:F829,F829,$C$2:C829,C829),"0000"))</f>
        <v/>
      </c>
      <c r="B829" s="13" t="n"/>
      <c r="C829" s="12">
        <f>IF(ISNUMBER(B829),YEAR(B829),"")</f>
        <v/>
      </c>
      <c r="D829" s="14" t="n"/>
      <c r="E829" s="14" t="n"/>
      <c r="F829" s="12">
        <f>IF(E829="","",IFERROR(VLOOKUP(E829,LISTAS!$A$2:$C$65,2,FALSE),"Revisar"))</f>
        <v/>
      </c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2">
        <f>IF(COUNTA(B829:B829)+COUNTA(D829:E829)+COUNTA(G829:AJ829)=0,"",IF(COUNTBLANK(B829:B829)+COUNTBLANK(D829:E829)+COUNTBLANK(G829:G829)+COUNTBLANK(O829:AJ829)&gt;0,"Faltan "&amp;(COUNTBLANK(B829:B829)+COUNTBLANK(D829:E829)+COUNTBLANK(G829:G829)+COUNTBLANK(O829:AJ829))&amp;" datos obligatorios",IF(NOT(ISNUMBER(B829)),"Fecha no válida",IF(N(B829)&gt;TODAY(),"Fecha futura",IF(IFERROR(VLOOKUP(E829,LISTAS!$A$2:$C$65,3,FALSE),"")&lt;&gt;D829,"La subregión no corresponde al municipio",IF(IF(L829="",FALSE,OR(L829&lt;0,L829&gt;110)),"Edad fuera de rango",IF((V829="Sí")+(W829="Sí")+(X829="Sí")+(Y829="Sí")=0,"Marque al menos un tipo de violencia","OK")))))))</f>
        <v/>
      </c>
    </row>
    <row r="830">
      <c r="A830" s="12">
        <f>IF(OR(F830="",F830="Revisar",C830=""),"",F830&amp;"-"&amp;C830&amp;"-"&amp;TEXT(COUNTIFS($F$2:F830,F830,$C$2:C830,C830),"0000"))</f>
        <v/>
      </c>
      <c r="B830" s="13" t="n"/>
      <c r="C830" s="12">
        <f>IF(ISNUMBER(B830),YEAR(B830),"")</f>
        <v/>
      </c>
      <c r="D830" s="14" t="n"/>
      <c r="E830" s="14" t="n"/>
      <c r="F830" s="12">
        <f>IF(E830="","",IFERROR(VLOOKUP(E830,LISTAS!$A$2:$C$65,2,FALSE),"Revisar"))</f>
        <v/>
      </c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2">
        <f>IF(COUNTA(B830:B830)+COUNTA(D830:E830)+COUNTA(G830:AJ830)=0,"",IF(COUNTBLANK(B830:B830)+COUNTBLANK(D830:E830)+COUNTBLANK(G830:G830)+COUNTBLANK(O830:AJ830)&gt;0,"Faltan "&amp;(COUNTBLANK(B830:B830)+COUNTBLANK(D830:E830)+COUNTBLANK(G830:G830)+COUNTBLANK(O830:AJ830))&amp;" datos obligatorios",IF(NOT(ISNUMBER(B830)),"Fecha no válida",IF(N(B830)&gt;TODAY(),"Fecha futura",IF(IFERROR(VLOOKUP(E830,LISTAS!$A$2:$C$65,3,FALSE),"")&lt;&gt;D830,"La subregión no corresponde al municipio",IF(IF(L830="",FALSE,OR(L830&lt;0,L830&gt;110)),"Edad fuera de rango",IF((V830="Sí")+(W830="Sí")+(X830="Sí")+(Y830="Sí")=0,"Marque al menos un tipo de violencia","OK")))))))</f>
        <v/>
      </c>
    </row>
    <row r="831">
      <c r="A831" s="12">
        <f>IF(OR(F831="",F831="Revisar",C831=""),"",F831&amp;"-"&amp;C831&amp;"-"&amp;TEXT(COUNTIFS($F$2:F831,F831,$C$2:C831,C831),"0000"))</f>
        <v/>
      </c>
      <c r="B831" s="13" t="n"/>
      <c r="C831" s="12">
        <f>IF(ISNUMBER(B831),YEAR(B831),"")</f>
        <v/>
      </c>
      <c r="D831" s="14" t="n"/>
      <c r="E831" s="14" t="n"/>
      <c r="F831" s="12">
        <f>IF(E831="","",IFERROR(VLOOKUP(E831,LISTAS!$A$2:$C$65,2,FALSE),"Revisar"))</f>
        <v/>
      </c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2">
        <f>IF(COUNTA(B831:B831)+COUNTA(D831:E831)+COUNTA(G831:AJ831)=0,"",IF(COUNTBLANK(B831:B831)+COUNTBLANK(D831:E831)+COUNTBLANK(G831:G831)+COUNTBLANK(O831:AJ831)&gt;0,"Faltan "&amp;(COUNTBLANK(B831:B831)+COUNTBLANK(D831:E831)+COUNTBLANK(G831:G831)+COUNTBLANK(O831:AJ831))&amp;" datos obligatorios",IF(NOT(ISNUMBER(B831)),"Fecha no válida",IF(N(B831)&gt;TODAY(),"Fecha futura",IF(IFERROR(VLOOKUP(E831,LISTAS!$A$2:$C$65,3,FALSE),"")&lt;&gt;D831,"La subregión no corresponde al municipio",IF(IF(L831="",FALSE,OR(L831&lt;0,L831&gt;110)),"Edad fuera de rango",IF((V831="Sí")+(W831="Sí")+(X831="Sí")+(Y831="Sí")=0,"Marque al menos un tipo de violencia","OK")))))))</f>
        <v/>
      </c>
    </row>
    <row r="832">
      <c r="A832" s="12">
        <f>IF(OR(F832="",F832="Revisar",C832=""),"",F832&amp;"-"&amp;C832&amp;"-"&amp;TEXT(COUNTIFS($F$2:F832,F832,$C$2:C832,C832),"0000"))</f>
        <v/>
      </c>
      <c r="B832" s="13" t="n"/>
      <c r="C832" s="12">
        <f>IF(ISNUMBER(B832),YEAR(B832),"")</f>
        <v/>
      </c>
      <c r="D832" s="14" t="n"/>
      <c r="E832" s="14" t="n"/>
      <c r="F832" s="12">
        <f>IF(E832="","",IFERROR(VLOOKUP(E832,LISTAS!$A$2:$C$65,2,FALSE),"Revisar"))</f>
        <v/>
      </c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2">
        <f>IF(COUNTA(B832:B832)+COUNTA(D832:E832)+COUNTA(G832:AJ832)=0,"",IF(COUNTBLANK(B832:B832)+COUNTBLANK(D832:E832)+COUNTBLANK(G832:G832)+COUNTBLANK(O832:AJ832)&gt;0,"Faltan "&amp;(COUNTBLANK(B832:B832)+COUNTBLANK(D832:E832)+COUNTBLANK(G832:G832)+COUNTBLANK(O832:AJ832))&amp;" datos obligatorios",IF(NOT(ISNUMBER(B832)),"Fecha no válida",IF(N(B832)&gt;TODAY(),"Fecha futura",IF(IFERROR(VLOOKUP(E832,LISTAS!$A$2:$C$65,3,FALSE),"")&lt;&gt;D832,"La subregión no corresponde al municipio",IF(IF(L832="",FALSE,OR(L832&lt;0,L832&gt;110)),"Edad fuera de rango",IF((V832="Sí")+(W832="Sí")+(X832="Sí")+(Y832="Sí")=0,"Marque al menos un tipo de violencia","OK")))))))</f>
        <v/>
      </c>
    </row>
    <row r="833">
      <c r="A833" s="12">
        <f>IF(OR(F833="",F833="Revisar",C833=""),"",F833&amp;"-"&amp;C833&amp;"-"&amp;TEXT(COUNTIFS($F$2:F833,F833,$C$2:C833,C833),"0000"))</f>
        <v/>
      </c>
      <c r="B833" s="13" t="n"/>
      <c r="C833" s="12">
        <f>IF(ISNUMBER(B833),YEAR(B833),"")</f>
        <v/>
      </c>
      <c r="D833" s="14" t="n"/>
      <c r="E833" s="14" t="n"/>
      <c r="F833" s="12">
        <f>IF(E833="","",IFERROR(VLOOKUP(E833,LISTAS!$A$2:$C$65,2,FALSE),"Revisar"))</f>
        <v/>
      </c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2">
        <f>IF(COUNTA(B833:B833)+COUNTA(D833:E833)+COUNTA(G833:AJ833)=0,"",IF(COUNTBLANK(B833:B833)+COUNTBLANK(D833:E833)+COUNTBLANK(G833:G833)+COUNTBLANK(O833:AJ833)&gt;0,"Faltan "&amp;(COUNTBLANK(B833:B833)+COUNTBLANK(D833:E833)+COUNTBLANK(G833:G833)+COUNTBLANK(O833:AJ833))&amp;" datos obligatorios",IF(NOT(ISNUMBER(B833)),"Fecha no válida",IF(N(B833)&gt;TODAY(),"Fecha futura",IF(IFERROR(VLOOKUP(E833,LISTAS!$A$2:$C$65,3,FALSE),"")&lt;&gt;D833,"La subregión no corresponde al municipio",IF(IF(L833="",FALSE,OR(L833&lt;0,L833&gt;110)),"Edad fuera de rango",IF((V833="Sí")+(W833="Sí")+(X833="Sí")+(Y833="Sí")=0,"Marque al menos un tipo de violencia","OK")))))))</f>
        <v/>
      </c>
    </row>
    <row r="834">
      <c r="A834" s="12">
        <f>IF(OR(F834="",F834="Revisar",C834=""),"",F834&amp;"-"&amp;C834&amp;"-"&amp;TEXT(COUNTIFS($F$2:F834,F834,$C$2:C834,C834),"0000"))</f>
        <v/>
      </c>
      <c r="B834" s="13" t="n"/>
      <c r="C834" s="12">
        <f>IF(ISNUMBER(B834),YEAR(B834),"")</f>
        <v/>
      </c>
      <c r="D834" s="14" t="n"/>
      <c r="E834" s="14" t="n"/>
      <c r="F834" s="12">
        <f>IF(E834="","",IFERROR(VLOOKUP(E834,LISTAS!$A$2:$C$65,2,FALSE),"Revisar"))</f>
        <v/>
      </c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2">
        <f>IF(COUNTA(B834:B834)+COUNTA(D834:E834)+COUNTA(G834:AJ834)=0,"",IF(COUNTBLANK(B834:B834)+COUNTBLANK(D834:E834)+COUNTBLANK(G834:G834)+COUNTBLANK(O834:AJ834)&gt;0,"Faltan "&amp;(COUNTBLANK(B834:B834)+COUNTBLANK(D834:E834)+COUNTBLANK(G834:G834)+COUNTBLANK(O834:AJ834))&amp;" datos obligatorios",IF(NOT(ISNUMBER(B834)),"Fecha no válida",IF(N(B834)&gt;TODAY(),"Fecha futura",IF(IFERROR(VLOOKUP(E834,LISTAS!$A$2:$C$65,3,FALSE),"")&lt;&gt;D834,"La subregión no corresponde al municipio",IF(IF(L834="",FALSE,OR(L834&lt;0,L834&gt;110)),"Edad fuera de rango",IF((V834="Sí")+(W834="Sí")+(X834="Sí")+(Y834="Sí")=0,"Marque al menos un tipo de violencia","OK")))))))</f>
        <v/>
      </c>
    </row>
    <row r="835">
      <c r="A835" s="12">
        <f>IF(OR(F835="",F835="Revisar",C835=""),"",F835&amp;"-"&amp;C835&amp;"-"&amp;TEXT(COUNTIFS($F$2:F835,F835,$C$2:C835,C835),"0000"))</f>
        <v/>
      </c>
      <c r="B835" s="13" t="n"/>
      <c r="C835" s="12">
        <f>IF(ISNUMBER(B835),YEAR(B835),"")</f>
        <v/>
      </c>
      <c r="D835" s="14" t="n"/>
      <c r="E835" s="14" t="n"/>
      <c r="F835" s="12">
        <f>IF(E835="","",IFERROR(VLOOKUP(E835,LISTAS!$A$2:$C$65,2,FALSE),"Revisar"))</f>
        <v/>
      </c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2">
        <f>IF(COUNTA(B835:B835)+COUNTA(D835:E835)+COUNTA(G835:AJ835)=0,"",IF(COUNTBLANK(B835:B835)+COUNTBLANK(D835:E835)+COUNTBLANK(G835:G835)+COUNTBLANK(O835:AJ835)&gt;0,"Faltan "&amp;(COUNTBLANK(B835:B835)+COUNTBLANK(D835:E835)+COUNTBLANK(G835:G835)+COUNTBLANK(O835:AJ835))&amp;" datos obligatorios",IF(NOT(ISNUMBER(B835)),"Fecha no válida",IF(N(B835)&gt;TODAY(),"Fecha futura",IF(IFERROR(VLOOKUP(E835,LISTAS!$A$2:$C$65,3,FALSE),"")&lt;&gt;D835,"La subregión no corresponde al municipio",IF(IF(L835="",FALSE,OR(L835&lt;0,L835&gt;110)),"Edad fuera de rango",IF((V835="Sí")+(W835="Sí")+(X835="Sí")+(Y835="Sí")=0,"Marque al menos un tipo de violencia","OK")))))))</f>
        <v/>
      </c>
    </row>
    <row r="836">
      <c r="A836" s="12">
        <f>IF(OR(F836="",F836="Revisar",C836=""),"",F836&amp;"-"&amp;C836&amp;"-"&amp;TEXT(COUNTIFS($F$2:F836,F836,$C$2:C836,C836),"0000"))</f>
        <v/>
      </c>
      <c r="B836" s="13" t="n"/>
      <c r="C836" s="12">
        <f>IF(ISNUMBER(B836),YEAR(B836),"")</f>
        <v/>
      </c>
      <c r="D836" s="14" t="n"/>
      <c r="E836" s="14" t="n"/>
      <c r="F836" s="12">
        <f>IF(E836="","",IFERROR(VLOOKUP(E836,LISTAS!$A$2:$C$65,2,FALSE),"Revisar"))</f>
        <v/>
      </c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2">
        <f>IF(COUNTA(B836:B836)+COUNTA(D836:E836)+COUNTA(G836:AJ836)=0,"",IF(COUNTBLANK(B836:B836)+COUNTBLANK(D836:E836)+COUNTBLANK(G836:G836)+COUNTBLANK(O836:AJ836)&gt;0,"Faltan "&amp;(COUNTBLANK(B836:B836)+COUNTBLANK(D836:E836)+COUNTBLANK(G836:G836)+COUNTBLANK(O836:AJ836))&amp;" datos obligatorios",IF(NOT(ISNUMBER(B836)),"Fecha no válida",IF(N(B836)&gt;TODAY(),"Fecha futura",IF(IFERROR(VLOOKUP(E836,LISTAS!$A$2:$C$65,3,FALSE),"")&lt;&gt;D836,"La subregión no corresponde al municipio",IF(IF(L836="",FALSE,OR(L836&lt;0,L836&gt;110)),"Edad fuera de rango",IF((V836="Sí")+(W836="Sí")+(X836="Sí")+(Y836="Sí")=0,"Marque al menos un tipo de violencia","OK")))))))</f>
        <v/>
      </c>
    </row>
    <row r="837">
      <c r="A837" s="12">
        <f>IF(OR(F837="",F837="Revisar",C837=""),"",F837&amp;"-"&amp;C837&amp;"-"&amp;TEXT(COUNTIFS($F$2:F837,F837,$C$2:C837,C837),"0000"))</f>
        <v/>
      </c>
      <c r="B837" s="13" t="n"/>
      <c r="C837" s="12">
        <f>IF(ISNUMBER(B837),YEAR(B837),"")</f>
        <v/>
      </c>
      <c r="D837" s="14" t="n"/>
      <c r="E837" s="14" t="n"/>
      <c r="F837" s="12">
        <f>IF(E837="","",IFERROR(VLOOKUP(E837,LISTAS!$A$2:$C$65,2,FALSE),"Revisar"))</f>
        <v/>
      </c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2">
        <f>IF(COUNTA(B837:B837)+COUNTA(D837:E837)+COUNTA(G837:AJ837)=0,"",IF(COUNTBLANK(B837:B837)+COUNTBLANK(D837:E837)+COUNTBLANK(G837:G837)+COUNTBLANK(O837:AJ837)&gt;0,"Faltan "&amp;(COUNTBLANK(B837:B837)+COUNTBLANK(D837:E837)+COUNTBLANK(G837:G837)+COUNTBLANK(O837:AJ837))&amp;" datos obligatorios",IF(NOT(ISNUMBER(B837)),"Fecha no válida",IF(N(B837)&gt;TODAY(),"Fecha futura",IF(IFERROR(VLOOKUP(E837,LISTAS!$A$2:$C$65,3,FALSE),"")&lt;&gt;D837,"La subregión no corresponde al municipio",IF(IF(L837="",FALSE,OR(L837&lt;0,L837&gt;110)),"Edad fuera de rango",IF((V837="Sí")+(W837="Sí")+(X837="Sí")+(Y837="Sí")=0,"Marque al menos un tipo de violencia","OK")))))))</f>
        <v/>
      </c>
    </row>
    <row r="838">
      <c r="A838" s="12">
        <f>IF(OR(F838="",F838="Revisar",C838=""),"",F838&amp;"-"&amp;C838&amp;"-"&amp;TEXT(COUNTIFS($F$2:F838,F838,$C$2:C838,C838),"0000"))</f>
        <v/>
      </c>
      <c r="B838" s="13" t="n"/>
      <c r="C838" s="12">
        <f>IF(ISNUMBER(B838),YEAR(B838),"")</f>
        <v/>
      </c>
      <c r="D838" s="14" t="n"/>
      <c r="E838" s="14" t="n"/>
      <c r="F838" s="12">
        <f>IF(E838="","",IFERROR(VLOOKUP(E838,LISTAS!$A$2:$C$65,2,FALSE),"Revisar"))</f>
        <v/>
      </c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2">
        <f>IF(COUNTA(B838:B838)+COUNTA(D838:E838)+COUNTA(G838:AJ838)=0,"",IF(COUNTBLANK(B838:B838)+COUNTBLANK(D838:E838)+COUNTBLANK(G838:G838)+COUNTBLANK(O838:AJ838)&gt;0,"Faltan "&amp;(COUNTBLANK(B838:B838)+COUNTBLANK(D838:E838)+COUNTBLANK(G838:G838)+COUNTBLANK(O838:AJ838))&amp;" datos obligatorios",IF(NOT(ISNUMBER(B838)),"Fecha no válida",IF(N(B838)&gt;TODAY(),"Fecha futura",IF(IFERROR(VLOOKUP(E838,LISTAS!$A$2:$C$65,3,FALSE),"")&lt;&gt;D838,"La subregión no corresponde al municipio",IF(IF(L838="",FALSE,OR(L838&lt;0,L838&gt;110)),"Edad fuera de rango",IF((V838="Sí")+(W838="Sí")+(X838="Sí")+(Y838="Sí")=0,"Marque al menos un tipo de violencia","OK")))))))</f>
        <v/>
      </c>
    </row>
    <row r="839">
      <c r="A839" s="12">
        <f>IF(OR(F839="",F839="Revisar",C839=""),"",F839&amp;"-"&amp;C839&amp;"-"&amp;TEXT(COUNTIFS($F$2:F839,F839,$C$2:C839,C839),"0000"))</f>
        <v/>
      </c>
      <c r="B839" s="13" t="n"/>
      <c r="C839" s="12">
        <f>IF(ISNUMBER(B839),YEAR(B839),"")</f>
        <v/>
      </c>
      <c r="D839" s="14" t="n"/>
      <c r="E839" s="14" t="n"/>
      <c r="F839" s="12">
        <f>IF(E839="","",IFERROR(VLOOKUP(E839,LISTAS!$A$2:$C$65,2,FALSE),"Revisar"))</f>
        <v/>
      </c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2">
        <f>IF(COUNTA(B839:B839)+COUNTA(D839:E839)+COUNTA(G839:AJ839)=0,"",IF(COUNTBLANK(B839:B839)+COUNTBLANK(D839:E839)+COUNTBLANK(G839:G839)+COUNTBLANK(O839:AJ839)&gt;0,"Faltan "&amp;(COUNTBLANK(B839:B839)+COUNTBLANK(D839:E839)+COUNTBLANK(G839:G839)+COUNTBLANK(O839:AJ839))&amp;" datos obligatorios",IF(NOT(ISNUMBER(B839)),"Fecha no válida",IF(N(B839)&gt;TODAY(),"Fecha futura",IF(IFERROR(VLOOKUP(E839,LISTAS!$A$2:$C$65,3,FALSE),"")&lt;&gt;D839,"La subregión no corresponde al municipio",IF(IF(L839="",FALSE,OR(L839&lt;0,L839&gt;110)),"Edad fuera de rango",IF((V839="Sí")+(W839="Sí")+(X839="Sí")+(Y839="Sí")=0,"Marque al menos un tipo de violencia","OK")))))))</f>
        <v/>
      </c>
    </row>
    <row r="840">
      <c r="A840" s="12">
        <f>IF(OR(F840="",F840="Revisar",C840=""),"",F840&amp;"-"&amp;C840&amp;"-"&amp;TEXT(COUNTIFS($F$2:F840,F840,$C$2:C840,C840),"0000"))</f>
        <v/>
      </c>
      <c r="B840" s="13" t="n"/>
      <c r="C840" s="12">
        <f>IF(ISNUMBER(B840),YEAR(B840),"")</f>
        <v/>
      </c>
      <c r="D840" s="14" t="n"/>
      <c r="E840" s="14" t="n"/>
      <c r="F840" s="12">
        <f>IF(E840="","",IFERROR(VLOOKUP(E840,LISTAS!$A$2:$C$65,2,FALSE),"Revisar"))</f>
        <v/>
      </c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2">
        <f>IF(COUNTA(B840:B840)+COUNTA(D840:E840)+COUNTA(G840:AJ840)=0,"",IF(COUNTBLANK(B840:B840)+COUNTBLANK(D840:E840)+COUNTBLANK(G840:G840)+COUNTBLANK(O840:AJ840)&gt;0,"Faltan "&amp;(COUNTBLANK(B840:B840)+COUNTBLANK(D840:E840)+COUNTBLANK(G840:G840)+COUNTBLANK(O840:AJ840))&amp;" datos obligatorios",IF(NOT(ISNUMBER(B840)),"Fecha no válida",IF(N(B840)&gt;TODAY(),"Fecha futura",IF(IFERROR(VLOOKUP(E840,LISTAS!$A$2:$C$65,3,FALSE),"")&lt;&gt;D840,"La subregión no corresponde al municipio",IF(IF(L840="",FALSE,OR(L840&lt;0,L840&gt;110)),"Edad fuera de rango",IF((V840="Sí")+(W840="Sí")+(X840="Sí")+(Y840="Sí")=0,"Marque al menos un tipo de violencia","OK")))))))</f>
        <v/>
      </c>
    </row>
    <row r="841">
      <c r="A841" s="12">
        <f>IF(OR(F841="",F841="Revisar",C841=""),"",F841&amp;"-"&amp;C841&amp;"-"&amp;TEXT(COUNTIFS($F$2:F841,F841,$C$2:C841,C841),"0000"))</f>
        <v/>
      </c>
      <c r="B841" s="13" t="n"/>
      <c r="C841" s="12">
        <f>IF(ISNUMBER(B841),YEAR(B841),"")</f>
        <v/>
      </c>
      <c r="D841" s="14" t="n"/>
      <c r="E841" s="14" t="n"/>
      <c r="F841" s="12">
        <f>IF(E841="","",IFERROR(VLOOKUP(E841,LISTAS!$A$2:$C$65,2,FALSE),"Revisar"))</f>
        <v/>
      </c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2">
        <f>IF(COUNTA(B841:B841)+COUNTA(D841:E841)+COUNTA(G841:AJ841)=0,"",IF(COUNTBLANK(B841:B841)+COUNTBLANK(D841:E841)+COUNTBLANK(G841:G841)+COUNTBLANK(O841:AJ841)&gt;0,"Faltan "&amp;(COUNTBLANK(B841:B841)+COUNTBLANK(D841:E841)+COUNTBLANK(G841:G841)+COUNTBLANK(O841:AJ841))&amp;" datos obligatorios",IF(NOT(ISNUMBER(B841)),"Fecha no válida",IF(N(B841)&gt;TODAY(),"Fecha futura",IF(IFERROR(VLOOKUP(E841,LISTAS!$A$2:$C$65,3,FALSE),"")&lt;&gt;D841,"La subregión no corresponde al municipio",IF(IF(L841="",FALSE,OR(L841&lt;0,L841&gt;110)),"Edad fuera de rango",IF((V841="Sí")+(W841="Sí")+(X841="Sí")+(Y841="Sí")=0,"Marque al menos un tipo de violencia","OK")))))))</f>
        <v/>
      </c>
    </row>
    <row r="842">
      <c r="A842" s="12">
        <f>IF(OR(F842="",F842="Revisar",C842=""),"",F842&amp;"-"&amp;C842&amp;"-"&amp;TEXT(COUNTIFS($F$2:F842,F842,$C$2:C842,C842),"0000"))</f>
        <v/>
      </c>
      <c r="B842" s="13" t="n"/>
      <c r="C842" s="12">
        <f>IF(ISNUMBER(B842),YEAR(B842),"")</f>
        <v/>
      </c>
      <c r="D842" s="14" t="n"/>
      <c r="E842" s="14" t="n"/>
      <c r="F842" s="12">
        <f>IF(E842="","",IFERROR(VLOOKUP(E842,LISTAS!$A$2:$C$65,2,FALSE),"Revisar"))</f>
        <v/>
      </c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2">
        <f>IF(COUNTA(B842:B842)+COUNTA(D842:E842)+COUNTA(G842:AJ842)=0,"",IF(COUNTBLANK(B842:B842)+COUNTBLANK(D842:E842)+COUNTBLANK(G842:G842)+COUNTBLANK(O842:AJ842)&gt;0,"Faltan "&amp;(COUNTBLANK(B842:B842)+COUNTBLANK(D842:E842)+COUNTBLANK(G842:G842)+COUNTBLANK(O842:AJ842))&amp;" datos obligatorios",IF(NOT(ISNUMBER(B842)),"Fecha no válida",IF(N(B842)&gt;TODAY(),"Fecha futura",IF(IFERROR(VLOOKUP(E842,LISTAS!$A$2:$C$65,3,FALSE),"")&lt;&gt;D842,"La subregión no corresponde al municipio",IF(IF(L842="",FALSE,OR(L842&lt;0,L842&gt;110)),"Edad fuera de rango",IF((V842="Sí")+(W842="Sí")+(X842="Sí")+(Y842="Sí")=0,"Marque al menos un tipo de violencia","OK")))))))</f>
        <v/>
      </c>
    </row>
    <row r="843">
      <c r="A843" s="12">
        <f>IF(OR(F843="",F843="Revisar",C843=""),"",F843&amp;"-"&amp;C843&amp;"-"&amp;TEXT(COUNTIFS($F$2:F843,F843,$C$2:C843,C843),"0000"))</f>
        <v/>
      </c>
      <c r="B843" s="13" t="n"/>
      <c r="C843" s="12">
        <f>IF(ISNUMBER(B843),YEAR(B843),"")</f>
        <v/>
      </c>
      <c r="D843" s="14" t="n"/>
      <c r="E843" s="14" t="n"/>
      <c r="F843" s="12">
        <f>IF(E843="","",IFERROR(VLOOKUP(E843,LISTAS!$A$2:$C$65,2,FALSE),"Revisar"))</f>
        <v/>
      </c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2">
        <f>IF(COUNTA(B843:B843)+COUNTA(D843:E843)+COUNTA(G843:AJ843)=0,"",IF(COUNTBLANK(B843:B843)+COUNTBLANK(D843:E843)+COUNTBLANK(G843:G843)+COUNTBLANK(O843:AJ843)&gt;0,"Faltan "&amp;(COUNTBLANK(B843:B843)+COUNTBLANK(D843:E843)+COUNTBLANK(G843:G843)+COUNTBLANK(O843:AJ843))&amp;" datos obligatorios",IF(NOT(ISNUMBER(B843)),"Fecha no válida",IF(N(B843)&gt;TODAY(),"Fecha futura",IF(IFERROR(VLOOKUP(E843,LISTAS!$A$2:$C$65,3,FALSE),"")&lt;&gt;D843,"La subregión no corresponde al municipio",IF(IF(L843="",FALSE,OR(L843&lt;0,L843&gt;110)),"Edad fuera de rango",IF((V843="Sí")+(W843="Sí")+(X843="Sí")+(Y843="Sí")=0,"Marque al menos un tipo de violencia","OK")))))))</f>
        <v/>
      </c>
    </row>
    <row r="844">
      <c r="A844" s="12">
        <f>IF(OR(F844="",F844="Revisar",C844=""),"",F844&amp;"-"&amp;C844&amp;"-"&amp;TEXT(COUNTIFS($F$2:F844,F844,$C$2:C844,C844),"0000"))</f>
        <v/>
      </c>
      <c r="B844" s="13" t="n"/>
      <c r="C844" s="12">
        <f>IF(ISNUMBER(B844),YEAR(B844),"")</f>
        <v/>
      </c>
      <c r="D844" s="14" t="n"/>
      <c r="E844" s="14" t="n"/>
      <c r="F844" s="12">
        <f>IF(E844="","",IFERROR(VLOOKUP(E844,LISTAS!$A$2:$C$65,2,FALSE),"Revisar"))</f>
        <v/>
      </c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2">
        <f>IF(COUNTA(B844:B844)+COUNTA(D844:E844)+COUNTA(G844:AJ844)=0,"",IF(COUNTBLANK(B844:B844)+COUNTBLANK(D844:E844)+COUNTBLANK(G844:G844)+COUNTBLANK(O844:AJ844)&gt;0,"Faltan "&amp;(COUNTBLANK(B844:B844)+COUNTBLANK(D844:E844)+COUNTBLANK(G844:G844)+COUNTBLANK(O844:AJ844))&amp;" datos obligatorios",IF(NOT(ISNUMBER(B844)),"Fecha no válida",IF(N(B844)&gt;TODAY(),"Fecha futura",IF(IFERROR(VLOOKUP(E844,LISTAS!$A$2:$C$65,3,FALSE),"")&lt;&gt;D844,"La subregión no corresponde al municipio",IF(IF(L844="",FALSE,OR(L844&lt;0,L844&gt;110)),"Edad fuera de rango",IF((V844="Sí")+(W844="Sí")+(X844="Sí")+(Y844="Sí")=0,"Marque al menos un tipo de violencia","OK")))))))</f>
        <v/>
      </c>
    </row>
    <row r="845">
      <c r="A845" s="12">
        <f>IF(OR(F845="",F845="Revisar",C845=""),"",F845&amp;"-"&amp;C845&amp;"-"&amp;TEXT(COUNTIFS($F$2:F845,F845,$C$2:C845,C845),"0000"))</f>
        <v/>
      </c>
      <c r="B845" s="13" t="n"/>
      <c r="C845" s="12">
        <f>IF(ISNUMBER(B845),YEAR(B845),"")</f>
        <v/>
      </c>
      <c r="D845" s="14" t="n"/>
      <c r="E845" s="14" t="n"/>
      <c r="F845" s="12">
        <f>IF(E845="","",IFERROR(VLOOKUP(E845,LISTAS!$A$2:$C$65,2,FALSE),"Revisar"))</f>
        <v/>
      </c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2">
        <f>IF(COUNTA(B845:B845)+COUNTA(D845:E845)+COUNTA(G845:AJ845)=0,"",IF(COUNTBLANK(B845:B845)+COUNTBLANK(D845:E845)+COUNTBLANK(G845:G845)+COUNTBLANK(O845:AJ845)&gt;0,"Faltan "&amp;(COUNTBLANK(B845:B845)+COUNTBLANK(D845:E845)+COUNTBLANK(G845:G845)+COUNTBLANK(O845:AJ845))&amp;" datos obligatorios",IF(NOT(ISNUMBER(B845)),"Fecha no válida",IF(N(B845)&gt;TODAY(),"Fecha futura",IF(IFERROR(VLOOKUP(E845,LISTAS!$A$2:$C$65,3,FALSE),"")&lt;&gt;D845,"La subregión no corresponde al municipio",IF(IF(L845="",FALSE,OR(L845&lt;0,L845&gt;110)),"Edad fuera de rango",IF((V845="Sí")+(W845="Sí")+(X845="Sí")+(Y845="Sí")=0,"Marque al menos un tipo de violencia","OK")))))))</f>
        <v/>
      </c>
    </row>
    <row r="846">
      <c r="A846" s="12">
        <f>IF(OR(F846="",F846="Revisar",C846=""),"",F846&amp;"-"&amp;C846&amp;"-"&amp;TEXT(COUNTIFS($F$2:F846,F846,$C$2:C846,C846),"0000"))</f>
        <v/>
      </c>
      <c r="B846" s="13" t="n"/>
      <c r="C846" s="12">
        <f>IF(ISNUMBER(B846),YEAR(B846),"")</f>
        <v/>
      </c>
      <c r="D846" s="14" t="n"/>
      <c r="E846" s="14" t="n"/>
      <c r="F846" s="12">
        <f>IF(E846="","",IFERROR(VLOOKUP(E846,LISTAS!$A$2:$C$65,2,FALSE),"Revisar"))</f>
        <v/>
      </c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2">
        <f>IF(COUNTA(B846:B846)+COUNTA(D846:E846)+COUNTA(G846:AJ846)=0,"",IF(COUNTBLANK(B846:B846)+COUNTBLANK(D846:E846)+COUNTBLANK(G846:G846)+COUNTBLANK(O846:AJ846)&gt;0,"Faltan "&amp;(COUNTBLANK(B846:B846)+COUNTBLANK(D846:E846)+COUNTBLANK(G846:G846)+COUNTBLANK(O846:AJ846))&amp;" datos obligatorios",IF(NOT(ISNUMBER(B846)),"Fecha no válida",IF(N(B846)&gt;TODAY(),"Fecha futura",IF(IFERROR(VLOOKUP(E846,LISTAS!$A$2:$C$65,3,FALSE),"")&lt;&gt;D846,"La subregión no corresponde al municipio",IF(IF(L846="",FALSE,OR(L846&lt;0,L846&gt;110)),"Edad fuera de rango",IF((V846="Sí")+(W846="Sí")+(X846="Sí")+(Y846="Sí")=0,"Marque al menos un tipo de violencia","OK")))))))</f>
        <v/>
      </c>
    </row>
    <row r="847">
      <c r="A847" s="12">
        <f>IF(OR(F847="",F847="Revisar",C847=""),"",F847&amp;"-"&amp;C847&amp;"-"&amp;TEXT(COUNTIFS($F$2:F847,F847,$C$2:C847,C847),"0000"))</f>
        <v/>
      </c>
      <c r="B847" s="13" t="n"/>
      <c r="C847" s="12">
        <f>IF(ISNUMBER(B847),YEAR(B847),"")</f>
        <v/>
      </c>
      <c r="D847" s="14" t="n"/>
      <c r="E847" s="14" t="n"/>
      <c r="F847" s="12">
        <f>IF(E847="","",IFERROR(VLOOKUP(E847,LISTAS!$A$2:$C$65,2,FALSE),"Revisar"))</f>
        <v/>
      </c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2">
        <f>IF(COUNTA(B847:B847)+COUNTA(D847:E847)+COUNTA(G847:AJ847)=0,"",IF(COUNTBLANK(B847:B847)+COUNTBLANK(D847:E847)+COUNTBLANK(G847:G847)+COUNTBLANK(O847:AJ847)&gt;0,"Faltan "&amp;(COUNTBLANK(B847:B847)+COUNTBLANK(D847:E847)+COUNTBLANK(G847:G847)+COUNTBLANK(O847:AJ847))&amp;" datos obligatorios",IF(NOT(ISNUMBER(B847)),"Fecha no válida",IF(N(B847)&gt;TODAY(),"Fecha futura",IF(IFERROR(VLOOKUP(E847,LISTAS!$A$2:$C$65,3,FALSE),"")&lt;&gt;D847,"La subregión no corresponde al municipio",IF(IF(L847="",FALSE,OR(L847&lt;0,L847&gt;110)),"Edad fuera de rango",IF((V847="Sí")+(W847="Sí")+(X847="Sí")+(Y847="Sí")=0,"Marque al menos un tipo de violencia","OK")))))))</f>
        <v/>
      </c>
    </row>
    <row r="848">
      <c r="A848" s="12">
        <f>IF(OR(F848="",F848="Revisar",C848=""),"",F848&amp;"-"&amp;C848&amp;"-"&amp;TEXT(COUNTIFS($F$2:F848,F848,$C$2:C848,C848),"0000"))</f>
        <v/>
      </c>
      <c r="B848" s="13" t="n"/>
      <c r="C848" s="12">
        <f>IF(ISNUMBER(B848),YEAR(B848),"")</f>
        <v/>
      </c>
      <c r="D848" s="14" t="n"/>
      <c r="E848" s="14" t="n"/>
      <c r="F848" s="12">
        <f>IF(E848="","",IFERROR(VLOOKUP(E848,LISTAS!$A$2:$C$65,2,FALSE),"Revisar"))</f>
        <v/>
      </c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2">
        <f>IF(COUNTA(B848:B848)+COUNTA(D848:E848)+COUNTA(G848:AJ848)=0,"",IF(COUNTBLANK(B848:B848)+COUNTBLANK(D848:E848)+COUNTBLANK(G848:G848)+COUNTBLANK(O848:AJ848)&gt;0,"Faltan "&amp;(COUNTBLANK(B848:B848)+COUNTBLANK(D848:E848)+COUNTBLANK(G848:G848)+COUNTBLANK(O848:AJ848))&amp;" datos obligatorios",IF(NOT(ISNUMBER(B848)),"Fecha no válida",IF(N(B848)&gt;TODAY(),"Fecha futura",IF(IFERROR(VLOOKUP(E848,LISTAS!$A$2:$C$65,3,FALSE),"")&lt;&gt;D848,"La subregión no corresponde al municipio",IF(IF(L848="",FALSE,OR(L848&lt;0,L848&gt;110)),"Edad fuera de rango",IF((V848="Sí")+(W848="Sí")+(X848="Sí")+(Y848="Sí")=0,"Marque al menos un tipo de violencia","OK")))))))</f>
        <v/>
      </c>
    </row>
    <row r="849">
      <c r="A849" s="12">
        <f>IF(OR(F849="",F849="Revisar",C849=""),"",F849&amp;"-"&amp;C849&amp;"-"&amp;TEXT(COUNTIFS($F$2:F849,F849,$C$2:C849,C849),"0000"))</f>
        <v/>
      </c>
      <c r="B849" s="13" t="n"/>
      <c r="C849" s="12">
        <f>IF(ISNUMBER(B849),YEAR(B849),"")</f>
        <v/>
      </c>
      <c r="D849" s="14" t="n"/>
      <c r="E849" s="14" t="n"/>
      <c r="F849" s="12">
        <f>IF(E849="","",IFERROR(VLOOKUP(E849,LISTAS!$A$2:$C$65,2,FALSE),"Revisar"))</f>
        <v/>
      </c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2">
        <f>IF(COUNTA(B849:B849)+COUNTA(D849:E849)+COUNTA(G849:AJ849)=0,"",IF(COUNTBLANK(B849:B849)+COUNTBLANK(D849:E849)+COUNTBLANK(G849:G849)+COUNTBLANK(O849:AJ849)&gt;0,"Faltan "&amp;(COUNTBLANK(B849:B849)+COUNTBLANK(D849:E849)+COUNTBLANK(G849:G849)+COUNTBLANK(O849:AJ849))&amp;" datos obligatorios",IF(NOT(ISNUMBER(B849)),"Fecha no válida",IF(N(B849)&gt;TODAY(),"Fecha futura",IF(IFERROR(VLOOKUP(E849,LISTAS!$A$2:$C$65,3,FALSE),"")&lt;&gt;D849,"La subregión no corresponde al municipio",IF(IF(L849="",FALSE,OR(L849&lt;0,L849&gt;110)),"Edad fuera de rango",IF((V849="Sí")+(W849="Sí")+(X849="Sí")+(Y849="Sí")=0,"Marque al menos un tipo de violencia","OK")))))))</f>
        <v/>
      </c>
    </row>
    <row r="850">
      <c r="A850" s="12">
        <f>IF(OR(F850="",F850="Revisar",C850=""),"",F850&amp;"-"&amp;C850&amp;"-"&amp;TEXT(COUNTIFS($F$2:F850,F850,$C$2:C850,C850),"0000"))</f>
        <v/>
      </c>
      <c r="B850" s="13" t="n"/>
      <c r="C850" s="12">
        <f>IF(ISNUMBER(B850),YEAR(B850),"")</f>
        <v/>
      </c>
      <c r="D850" s="14" t="n"/>
      <c r="E850" s="14" t="n"/>
      <c r="F850" s="12">
        <f>IF(E850="","",IFERROR(VLOOKUP(E850,LISTAS!$A$2:$C$65,2,FALSE),"Revisar"))</f>
        <v/>
      </c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2">
        <f>IF(COUNTA(B850:B850)+COUNTA(D850:E850)+COUNTA(G850:AJ850)=0,"",IF(COUNTBLANK(B850:B850)+COUNTBLANK(D850:E850)+COUNTBLANK(G850:G850)+COUNTBLANK(O850:AJ850)&gt;0,"Faltan "&amp;(COUNTBLANK(B850:B850)+COUNTBLANK(D850:E850)+COUNTBLANK(G850:G850)+COUNTBLANK(O850:AJ850))&amp;" datos obligatorios",IF(NOT(ISNUMBER(B850)),"Fecha no válida",IF(N(B850)&gt;TODAY(),"Fecha futura",IF(IFERROR(VLOOKUP(E850,LISTAS!$A$2:$C$65,3,FALSE),"")&lt;&gt;D850,"La subregión no corresponde al municipio",IF(IF(L850="",FALSE,OR(L850&lt;0,L850&gt;110)),"Edad fuera de rango",IF((V850="Sí")+(W850="Sí")+(X850="Sí")+(Y850="Sí")=0,"Marque al menos un tipo de violencia","OK")))))))</f>
        <v/>
      </c>
    </row>
    <row r="851">
      <c r="A851" s="12">
        <f>IF(OR(F851="",F851="Revisar",C851=""),"",F851&amp;"-"&amp;C851&amp;"-"&amp;TEXT(COUNTIFS($F$2:F851,F851,$C$2:C851,C851),"0000"))</f>
        <v/>
      </c>
      <c r="B851" s="13" t="n"/>
      <c r="C851" s="12">
        <f>IF(ISNUMBER(B851),YEAR(B851),"")</f>
        <v/>
      </c>
      <c r="D851" s="14" t="n"/>
      <c r="E851" s="14" t="n"/>
      <c r="F851" s="12">
        <f>IF(E851="","",IFERROR(VLOOKUP(E851,LISTAS!$A$2:$C$65,2,FALSE),"Revisar"))</f>
        <v/>
      </c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2">
        <f>IF(COUNTA(B851:B851)+COUNTA(D851:E851)+COUNTA(G851:AJ851)=0,"",IF(COUNTBLANK(B851:B851)+COUNTBLANK(D851:E851)+COUNTBLANK(G851:G851)+COUNTBLANK(O851:AJ851)&gt;0,"Faltan "&amp;(COUNTBLANK(B851:B851)+COUNTBLANK(D851:E851)+COUNTBLANK(G851:G851)+COUNTBLANK(O851:AJ851))&amp;" datos obligatorios",IF(NOT(ISNUMBER(B851)),"Fecha no válida",IF(N(B851)&gt;TODAY(),"Fecha futura",IF(IFERROR(VLOOKUP(E851,LISTAS!$A$2:$C$65,3,FALSE),"")&lt;&gt;D851,"La subregión no corresponde al municipio",IF(IF(L851="",FALSE,OR(L851&lt;0,L851&gt;110)),"Edad fuera de rango",IF((V851="Sí")+(W851="Sí")+(X851="Sí")+(Y851="Sí")=0,"Marque al menos un tipo de violencia","OK")))))))</f>
        <v/>
      </c>
    </row>
    <row r="852">
      <c r="A852" s="12">
        <f>IF(OR(F852="",F852="Revisar",C852=""),"",F852&amp;"-"&amp;C852&amp;"-"&amp;TEXT(COUNTIFS($F$2:F852,F852,$C$2:C852,C852),"0000"))</f>
        <v/>
      </c>
      <c r="B852" s="13" t="n"/>
      <c r="C852" s="12">
        <f>IF(ISNUMBER(B852),YEAR(B852),"")</f>
        <v/>
      </c>
      <c r="D852" s="14" t="n"/>
      <c r="E852" s="14" t="n"/>
      <c r="F852" s="12">
        <f>IF(E852="","",IFERROR(VLOOKUP(E852,LISTAS!$A$2:$C$65,2,FALSE),"Revisar"))</f>
        <v/>
      </c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2">
        <f>IF(COUNTA(B852:B852)+COUNTA(D852:E852)+COUNTA(G852:AJ852)=0,"",IF(COUNTBLANK(B852:B852)+COUNTBLANK(D852:E852)+COUNTBLANK(G852:G852)+COUNTBLANK(O852:AJ852)&gt;0,"Faltan "&amp;(COUNTBLANK(B852:B852)+COUNTBLANK(D852:E852)+COUNTBLANK(G852:G852)+COUNTBLANK(O852:AJ852))&amp;" datos obligatorios",IF(NOT(ISNUMBER(B852)),"Fecha no válida",IF(N(B852)&gt;TODAY(),"Fecha futura",IF(IFERROR(VLOOKUP(E852,LISTAS!$A$2:$C$65,3,FALSE),"")&lt;&gt;D852,"La subregión no corresponde al municipio",IF(IF(L852="",FALSE,OR(L852&lt;0,L852&gt;110)),"Edad fuera de rango",IF((V852="Sí")+(W852="Sí")+(X852="Sí")+(Y852="Sí")=0,"Marque al menos un tipo de violencia","OK")))))))</f>
        <v/>
      </c>
    </row>
    <row r="853">
      <c r="A853" s="12">
        <f>IF(OR(F853="",F853="Revisar",C853=""),"",F853&amp;"-"&amp;C853&amp;"-"&amp;TEXT(COUNTIFS($F$2:F853,F853,$C$2:C853,C853),"0000"))</f>
        <v/>
      </c>
      <c r="B853" s="13" t="n"/>
      <c r="C853" s="12">
        <f>IF(ISNUMBER(B853),YEAR(B853),"")</f>
        <v/>
      </c>
      <c r="D853" s="14" t="n"/>
      <c r="E853" s="14" t="n"/>
      <c r="F853" s="12">
        <f>IF(E853="","",IFERROR(VLOOKUP(E853,LISTAS!$A$2:$C$65,2,FALSE),"Revisar"))</f>
        <v/>
      </c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2">
        <f>IF(COUNTA(B853:B853)+COUNTA(D853:E853)+COUNTA(G853:AJ853)=0,"",IF(COUNTBLANK(B853:B853)+COUNTBLANK(D853:E853)+COUNTBLANK(G853:G853)+COUNTBLANK(O853:AJ853)&gt;0,"Faltan "&amp;(COUNTBLANK(B853:B853)+COUNTBLANK(D853:E853)+COUNTBLANK(G853:G853)+COUNTBLANK(O853:AJ853))&amp;" datos obligatorios",IF(NOT(ISNUMBER(B853)),"Fecha no válida",IF(N(B853)&gt;TODAY(),"Fecha futura",IF(IFERROR(VLOOKUP(E853,LISTAS!$A$2:$C$65,3,FALSE),"")&lt;&gt;D853,"La subregión no corresponde al municipio",IF(IF(L853="",FALSE,OR(L853&lt;0,L853&gt;110)),"Edad fuera de rango",IF((V853="Sí")+(W853="Sí")+(X853="Sí")+(Y853="Sí")=0,"Marque al menos un tipo de violencia","OK")))))))</f>
        <v/>
      </c>
    </row>
    <row r="854">
      <c r="A854" s="12">
        <f>IF(OR(F854="",F854="Revisar",C854=""),"",F854&amp;"-"&amp;C854&amp;"-"&amp;TEXT(COUNTIFS($F$2:F854,F854,$C$2:C854,C854),"0000"))</f>
        <v/>
      </c>
      <c r="B854" s="13" t="n"/>
      <c r="C854" s="12">
        <f>IF(ISNUMBER(B854),YEAR(B854),"")</f>
        <v/>
      </c>
      <c r="D854" s="14" t="n"/>
      <c r="E854" s="14" t="n"/>
      <c r="F854" s="12">
        <f>IF(E854="","",IFERROR(VLOOKUP(E854,LISTAS!$A$2:$C$65,2,FALSE),"Revisar"))</f>
        <v/>
      </c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2">
        <f>IF(COUNTA(B854:B854)+COUNTA(D854:E854)+COUNTA(G854:AJ854)=0,"",IF(COUNTBLANK(B854:B854)+COUNTBLANK(D854:E854)+COUNTBLANK(G854:G854)+COUNTBLANK(O854:AJ854)&gt;0,"Faltan "&amp;(COUNTBLANK(B854:B854)+COUNTBLANK(D854:E854)+COUNTBLANK(G854:G854)+COUNTBLANK(O854:AJ854))&amp;" datos obligatorios",IF(NOT(ISNUMBER(B854)),"Fecha no válida",IF(N(B854)&gt;TODAY(),"Fecha futura",IF(IFERROR(VLOOKUP(E854,LISTAS!$A$2:$C$65,3,FALSE),"")&lt;&gt;D854,"La subregión no corresponde al municipio",IF(IF(L854="",FALSE,OR(L854&lt;0,L854&gt;110)),"Edad fuera de rango",IF((V854="Sí")+(W854="Sí")+(X854="Sí")+(Y854="Sí")=0,"Marque al menos un tipo de violencia","OK")))))))</f>
        <v/>
      </c>
    </row>
    <row r="855">
      <c r="A855" s="12">
        <f>IF(OR(F855="",F855="Revisar",C855=""),"",F855&amp;"-"&amp;C855&amp;"-"&amp;TEXT(COUNTIFS($F$2:F855,F855,$C$2:C855,C855),"0000"))</f>
        <v/>
      </c>
      <c r="B855" s="13" t="n"/>
      <c r="C855" s="12">
        <f>IF(ISNUMBER(B855),YEAR(B855),"")</f>
        <v/>
      </c>
      <c r="D855" s="14" t="n"/>
      <c r="E855" s="14" t="n"/>
      <c r="F855" s="12">
        <f>IF(E855="","",IFERROR(VLOOKUP(E855,LISTAS!$A$2:$C$65,2,FALSE),"Revisar"))</f>
        <v/>
      </c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2">
        <f>IF(COUNTA(B855:B855)+COUNTA(D855:E855)+COUNTA(G855:AJ855)=0,"",IF(COUNTBLANK(B855:B855)+COUNTBLANK(D855:E855)+COUNTBLANK(G855:G855)+COUNTBLANK(O855:AJ855)&gt;0,"Faltan "&amp;(COUNTBLANK(B855:B855)+COUNTBLANK(D855:E855)+COUNTBLANK(G855:G855)+COUNTBLANK(O855:AJ855))&amp;" datos obligatorios",IF(NOT(ISNUMBER(B855)),"Fecha no válida",IF(N(B855)&gt;TODAY(),"Fecha futura",IF(IFERROR(VLOOKUP(E855,LISTAS!$A$2:$C$65,3,FALSE),"")&lt;&gt;D855,"La subregión no corresponde al municipio",IF(IF(L855="",FALSE,OR(L855&lt;0,L855&gt;110)),"Edad fuera de rango",IF((V855="Sí")+(W855="Sí")+(X855="Sí")+(Y855="Sí")=0,"Marque al menos un tipo de violencia","OK")))))))</f>
        <v/>
      </c>
    </row>
    <row r="856">
      <c r="A856" s="12">
        <f>IF(OR(F856="",F856="Revisar",C856=""),"",F856&amp;"-"&amp;C856&amp;"-"&amp;TEXT(COUNTIFS($F$2:F856,F856,$C$2:C856,C856),"0000"))</f>
        <v/>
      </c>
      <c r="B856" s="13" t="n"/>
      <c r="C856" s="12">
        <f>IF(ISNUMBER(B856),YEAR(B856),"")</f>
        <v/>
      </c>
      <c r="D856" s="14" t="n"/>
      <c r="E856" s="14" t="n"/>
      <c r="F856" s="12">
        <f>IF(E856="","",IFERROR(VLOOKUP(E856,LISTAS!$A$2:$C$65,2,FALSE),"Revisar"))</f>
        <v/>
      </c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2">
        <f>IF(COUNTA(B856:B856)+COUNTA(D856:E856)+COUNTA(G856:AJ856)=0,"",IF(COUNTBLANK(B856:B856)+COUNTBLANK(D856:E856)+COUNTBLANK(G856:G856)+COUNTBLANK(O856:AJ856)&gt;0,"Faltan "&amp;(COUNTBLANK(B856:B856)+COUNTBLANK(D856:E856)+COUNTBLANK(G856:G856)+COUNTBLANK(O856:AJ856))&amp;" datos obligatorios",IF(NOT(ISNUMBER(B856)),"Fecha no válida",IF(N(B856)&gt;TODAY(),"Fecha futura",IF(IFERROR(VLOOKUP(E856,LISTAS!$A$2:$C$65,3,FALSE),"")&lt;&gt;D856,"La subregión no corresponde al municipio",IF(IF(L856="",FALSE,OR(L856&lt;0,L856&gt;110)),"Edad fuera de rango",IF((V856="Sí")+(W856="Sí")+(X856="Sí")+(Y856="Sí")=0,"Marque al menos un tipo de violencia","OK")))))))</f>
        <v/>
      </c>
    </row>
    <row r="857">
      <c r="A857" s="12">
        <f>IF(OR(F857="",F857="Revisar",C857=""),"",F857&amp;"-"&amp;C857&amp;"-"&amp;TEXT(COUNTIFS($F$2:F857,F857,$C$2:C857,C857),"0000"))</f>
        <v/>
      </c>
      <c r="B857" s="13" t="n"/>
      <c r="C857" s="12">
        <f>IF(ISNUMBER(B857),YEAR(B857),"")</f>
        <v/>
      </c>
      <c r="D857" s="14" t="n"/>
      <c r="E857" s="14" t="n"/>
      <c r="F857" s="12">
        <f>IF(E857="","",IFERROR(VLOOKUP(E857,LISTAS!$A$2:$C$65,2,FALSE),"Revisar"))</f>
        <v/>
      </c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2">
        <f>IF(COUNTA(B857:B857)+COUNTA(D857:E857)+COUNTA(G857:AJ857)=0,"",IF(COUNTBLANK(B857:B857)+COUNTBLANK(D857:E857)+COUNTBLANK(G857:G857)+COUNTBLANK(O857:AJ857)&gt;0,"Faltan "&amp;(COUNTBLANK(B857:B857)+COUNTBLANK(D857:E857)+COUNTBLANK(G857:G857)+COUNTBLANK(O857:AJ857))&amp;" datos obligatorios",IF(NOT(ISNUMBER(B857)),"Fecha no válida",IF(N(B857)&gt;TODAY(),"Fecha futura",IF(IFERROR(VLOOKUP(E857,LISTAS!$A$2:$C$65,3,FALSE),"")&lt;&gt;D857,"La subregión no corresponde al municipio",IF(IF(L857="",FALSE,OR(L857&lt;0,L857&gt;110)),"Edad fuera de rango",IF((V857="Sí")+(W857="Sí")+(X857="Sí")+(Y857="Sí")=0,"Marque al menos un tipo de violencia","OK")))))))</f>
        <v/>
      </c>
    </row>
    <row r="858">
      <c r="A858" s="12">
        <f>IF(OR(F858="",F858="Revisar",C858=""),"",F858&amp;"-"&amp;C858&amp;"-"&amp;TEXT(COUNTIFS($F$2:F858,F858,$C$2:C858,C858),"0000"))</f>
        <v/>
      </c>
      <c r="B858" s="13" t="n"/>
      <c r="C858" s="12">
        <f>IF(ISNUMBER(B858),YEAR(B858),"")</f>
        <v/>
      </c>
      <c r="D858" s="14" t="n"/>
      <c r="E858" s="14" t="n"/>
      <c r="F858" s="12">
        <f>IF(E858="","",IFERROR(VLOOKUP(E858,LISTAS!$A$2:$C$65,2,FALSE),"Revisar"))</f>
        <v/>
      </c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2">
        <f>IF(COUNTA(B858:B858)+COUNTA(D858:E858)+COUNTA(G858:AJ858)=0,"",IF(COUNTBLANK(B858:B858)+COUNTBLANK(D858:E858)+COUNTBLANK(G858:G858)+COUNTBLANK(O858:AJ858)&gt;0,"Faltan "&amp;(COUNTBLANK(B858:B858)+COUNTBLANK(D858:E858)+COUNTBLANK(G858:G858)+COUNTBLANK(O858:AJ858))&amp;" datos obligatorios",IF(NOT(ISNUMBER(B858)),"Fecha no válida",IF(N(B858)&gt;TODAY(),"Fecha futura",IF(IFERROR(VLOOKUP(E858,LISTAS!$A$2:$C$65,3,FALSE),"")&lt;&gt;D858,"La subregión no corresponde al municipio",IF(IF(L858="",FALSE,OR(L858&lt;0,L858&gt;110)),"Edad fuera de rango",IF((V858="Sí")+(W858="Sí")+(X858="Sí")+(Y858="Sí")=0,"Marque al menos un tipo de violencia","OK")))))))</f>
        <v/>
      </c>
    </row>
    <row r="859">
      <c r="A859" s="12">
        <f>IF(OR(F859="",F859="Revisar",C859=""),"",F859&amp;"-"&amp;C859&amp;"-"&amp;TEXT(COUNTIFS($F$2:F859,F859,$C$2:C859,C859),"0000"))</f>
        <v/>
      </c>
      <c r="B859" s="13" t="n"/>
      <c r="C859" s="12">
        <f>IF(ISNUMBER(B859),YEAR(B859),"")</f>
        <v/>
      </c>
      <c r="D859" s="14" t="n"/>
      <c r="E859" s="14" t="n"/>
      <c r="F859" s="12">
        <f>IF(E859="","",IFERROR(VLOOKUP(E859,LISTAS!$A$2:$C$65,2,FALSE),"Revisar"))</f>
        <v/>
      </c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2">
        <f>IF(COUNTA(B859:B859)+COUNTA(D859:E859)+COUNTA(G859:AJ859)=0,"",IF(COUNTBLANK(B859:B859)+COUNTBLANK(D859:E859)+COUNTBLANK(G859:G859)+COUNTBLANK(O859:AJ859)&gt;0,"Faltan "&amp;(COUNTBLANK(B859:B859)+COUNTBLANK(D859:E859)+COUNTBLANK(G859:G859)+COUNTBLANK(O859:AJ859))&amp;" datos obligatorios",IF(NOT(ISNUMBER(B859)),"Fecha no válida",IF(N(B859)&gt;TODAY(),"Fecha futura",IF(IFERROR(VLOOKUP(E859,LISTAS!$A$2:$C$65,3,FALSE),"")&lt;&gt;D859,"La subregión no corresponde al municipio",IF(IF(L859="",FALSE,OR(L859&lt;0,L859&gt;110)),"Edad fuera de rango",IF((V859="Sí")+(W859="Sí")+(X859="Sí")+(Y859="Sí")=0,"Marque al menos un tipo de violencia","OK")))))))</f>
        <v/>
      </c>
    </row>
    <row r="860">
      <c r="A860" s="12">
        <f>IF(OR(F860="",F860="Revisar",C860=""),"",F860&amp;"-"&amp;C860&amp;"-"&amp;TEXT(COUNTIFS($F$2:F860,F860,$C$2:C860,C860),"0000"))</f>
        <v/>
      </c>
      <c r="B860" s="13" t="n"/>
      <c r="C860" s="12">
        <f>IF(ISNUMBER(B860),YEAR(B860),"")</f>
        <v/>
      </c>
      <c r="D860" s="14" t="n"/>
      <c r="E860" s="14" t="n"/>
      <c r="F860" s="12">
        <f>IF(E860="","",IFERROR(VLOOKUP(E860,LISTAS!$A$2:$C$65,2,FALSE),"Revisar"))</f>
        <v/>
      </c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  <c r="AH860" s="14" t="n"/>
      <c r="AI860" s="14" t="n"/>
      <c r="AJ860" s="14" t="n"/>
      <c r="AK860" s="12">
        <f>IF(COUNTA(B860:B860)+COUNTA(D860:E860)+COUNTA(G860:AJ860)=0,"",IF(COUNTBLANK(B860:B860)+COUNTBLANK(D860:E860)+COUNTBLANK(G860:G860)+COUNTBLANK(O860:AJ860)&gt;0,"Faltan "&amp;(COUNTBLANK(B860:B860)+COUNTBLANK(D860:E860)+COUNTBLANK(G860:G860)+COUNTBLANK(O860:AJ860))&amp;" datos obligatorios",IF(NOT(ISNUMBER(B860)),"Fecha no válida",IF(N(B860)&gt;TODAY(),"Fecha futura",IF(IFERROR(VLOOKUP(E860,LISTAS!$A$2:$C$65,3,FALSE),"")&lt;&gt;D860,"La subregión no corresponde al municipio",IF(IF(L860="",FALSE,OR(L860&lt;0,L860&gt;110)),"Edad fuera de rango",IF((V860="Sí")+(W860="Sí")+(X860="Sí")+(Y860="Sí")=0,"Marque al menos un tipo de violencia","OK")))))))</f>
        <v/>
      </c>
    </row>
    <row r="861">
      <c r="A861" s="12">
        <f>IF(OR(F861="",F861="Revisar",C861=""),"",F861&amp;"-"&amp;C861&amp;"-"&amp;TEXT(COUNTIFS($F$2:F861,F861,$C$2:C861,C861),"0000"))</f>
        <v/>
      </c>
      <c r="B861" s="13" t="n"/>
      <c r="C861" s="12">
        <f>IF(ISNUMBER(B861),YEAR(B861),"")</f>
        <v/>
      </c>
      <c r="D861" s="14" t="n"/>
      <c r="E861" s="14" t="n"/>
      <c r="F861" s="12">
        <f>IF(E861="","",IFERROR(VLOOKUP(E861,LISTAS!$A$2:$C$65,2,FALSE),"Revisar"))</f>
        <v/>
      </c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  <c r="AA861" s="14" t="n"/>
      <c r="AB861" s="14" t="n"/>
      <c r="AC861" s="14" t="n"/>
      <c r="AD861" s="14" t="n"/>
      <c r="AE861" s="14" t="n"/>
      <c r="AF861" s="14" t="n"/>
      <c r="AG861" s="14" t="n"/>
      <c r="AH861" s="14" t="n"/>
      <c r="AI861" s="14" t="n"/>
      <c r="AJ861" s="14" t="n"/>
      <c r="AK861" s="12">
        <f>IF(COUNTA(B861:B861)+COUNTA(D861:E861)+COUNTA(G861:AJ861)=0,"",IF(COUNTBLANK(B861:B861)+COUNTBLANK(D861:E861)+COUNTBLANK(G861:G861)+COUNTBLANK(O861:AJ861)&gt;0,"Faltan "&amp;(COUNTBLANK(B861:B861)+COUNTBLANK(D861:E861)+COUNTBLANK(G861:G861)+COUNTBLANK(O861:AJ861))&amp;" datos obligatorios",IF(NOT(ISNUMBER(B861)),"Fecha no válida",IF(N(B861)&gt;TODAY(),"Fecha futura",IF(IFERROR(VLOOKUP(E861,LISTAS!$A$2:$C$65,3,FALSE),"")&lt;&gt;D861,"La subregión no corresponde al municipio",IF(IF(L861="",FALSE,OR(L861&lt;0,L861&gt;110)),"Edad fuera de rango",IF((V861="Sí")+(W861="Sí")+(X861="Sí")+(Y861="Sí")=0,"Marque al menos un tipo de violencia","OK")))))))</f>
        <v/>
      </c>
    </row>
    <row r="862">
      <c r="A862" s="12">
        <f>IF(OR(F862="",F862="Revisar",C862=""),"",F862&amp;"-"&amp;C862&amp;"-"&amp;TEXT(COUNTIFS($F$2:F862,F862,$C$2:C862,C862),"0000"))</f>
        <v/>
      </c>
      <c r="B862" s="13" t="n"/>
      <c r="C862" s="12">
        <f>IF(ISNUMBER(B862),YEAR(B862),"")</f>
        <v/>
      </c>
      <c r="D862" s="14" t="n"/>
      <c r="E862" s="14" t="n"/>
      <c r="F862" s="12">
        <f>IF(E862="","",IFERROR(VLOOKUP(E862,LISTAS!$A$2:$C$65,2,FALSE),"Revisar"))</f>
        <v/>
      </c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  <c r="AH862" s="14" t="n"/>
      <c r="AI862" s="14" t="n"/>
      <c r="AJ862" s="14" t="n"/>
      <c r="AK862" s="12">
        <f>IF(COUNTA(B862:B862)+COUNTA(D862:E862)+COUNTA(G862:AJ862)=0,"",IF(COUNTBLANK(B862:B862)+COUNTBLANK(D862:E862)+COUNTBLANK(G862:G862)+COUNTBLANK(O862:AJ862)&gt;0,"Faltan "&amp;(COUNTBLANK(B862:B862)+COUNTBLANK(D862:E862)+COUNTBLANK(G862:G862)+COUNTBLANK(O862:AJ862))&amp;" datos obligatorios",IF(NOT(ISNUMBER(B862)),"Fecha no válida",IF(N(B862)&gt;TODAY(),"Fecha futura",IF(IFERROR(VLOOKUP(E862,LISTAS!$A$2:$C$65,3,FALSE),"")&lt;&gt;D862,"La subregión no corresponde al municipio",IF(IF(L862="",FALSE,OR(L862&lt;0,L862&gt;110)),"Edad fuera de rango",IF((V862="Sí")+(W862="Sí")+(X862="Sí")+(Y862="Sí")=0,"Marque al menos un tipo de violencia","OK")))))))</f>
        <v/>
      </c>
    </row>
    <row r="863">
      <c r="A863" s="12">
        <f>IF(OR(F863="",F863="Revisar",C863=""),"",F863&amp;"-"&amp;C863&amp;"-"&amp;TEXT(COUNTIFS($F$2:F863,F863,$C$2:C863,C863),"0000"))</f>
        <v/>
      </c>
      <c r="B863" s="13" t="n"/>
      <c r="C863" s="12">
        <f>IF(ISNUMBER(B863),YEAR(B863),"")</f>
        <v/>
      </c>
      <c r="D863" s="14" t="n"/>
      <c r="E863" s="14" t="n"/>
      <c r="F863" s="12">
        <f>IF(E863="","",IFERROR(VLOOKUP(E863,LISTAS!$A$2:$C$65,2,FALSE),"Revisar"))</f>
        <v/>
      </c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  <c r="AA863" s="14" t="n"/>
      <c r="AB863" s="14" t="n"/>
      <c r="AC863" s="14" t="n"/>
      <c r="AD863" s="14" t="n"/>
      <c r="AE863" s="14" t="n"/>
      <c r="AF863" s="14" t="n"/>
      <c r="AG863" s="14" t="n"/>
      <c r="AH863" s="14" t="n"/>
      <c r="AI863" s="14" t="n"/>
      <c r="AJ863" s="14" t="n"/>
      <c r="AK863" s="12">
        <f>IF(COUNTA(B863:B863)+COUNTA(D863:E863)+COUNTA(G863:AJ863)=0,"",IF(COUNTBLANK(B863:B863)+COUNTBLANK(D863:E863)+COUNTBLANK(G863:G863)+COUNTBLANK(O863:AJ863)&gt;0,"Faltan "&amp;(COUNTBLANK(B863:B863)+COUNTBLANK(D863:E863)+COUNTBLANK(G863:G863)+COUNTBLANK(O863:AJ863))&amp;" datos obligatorios",IF(NOT(ISNUMBER(B863)),"Fecha no válida",IF(N(B863)&gt;TODAY(),"Fecha futura",IF(IFERROR(VLOOKUP(E863,LISTAS!$A$2:$C$65,3,FALSE),"")&lt;&gt;D863,"La subregión no corresponde al municipio",IF(IF(L863="",FALSE,OR(L863&lt;0,L863&gt;110)),"Edad fuera de rango",IF((V863="Sí")+(W863="Sí")+(X863="Sí")+(Y863="Sí")=0,"Marque al menos un tipo de violencia","OK")))))))</f>
        <v/>
      </c>
    </row>
    <row r="864">
      <c r="A864" s="12">
        <f>IF(OR(F864="",F864="Revisar",C864=""),"",F864&amp;"-"&amp;C864&amp;"-"&amp;TEXT(COUNTIFS($F$2:F864,F864,$C$2:C864,C864),"0000"))</f>
        <v/>
      </c>
      <c r="B864" s="13" t="n"/>
      <c r="C864" s="12">
        <f>IF(ISNUMBER(B864),YEAR(B864),"")</f>
        <v/>
      </c>
      <c r="D864" s="14" t="n"/>
      <c r="E864" s="14" t="n"/>
      <c r="F864" s="12">
        <f>IF(E864="","",IFERROR(VLOOKUP(E864,LISTAS!$A$2:$C$65,2,FALSE),"Revisar"))</f>
        <v/>
      </c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  <c r="AH864" s="14" t="n"/>
      <c r="AI864" s="14" t="n"/>
      <c r="AJ864" s="14" t="n"/>
      <c r="AK864" s="12">
        <f>IF(COUNTA(B864:B864)+COUNTA(D864:E864)+COUNTA(G864:AJ864)=0,"",IF(COUNTBLANK(B864:B864)+COUNTBLANK(D864:E864)+COUNTBLANK(G864:G864)+COUNTBLANK(O864:AJ864)&gt;0,"Faltan "&amp;(COUNTBLANK(B864:B864)+COUNTBLANK(D864:E864)+COUNTBLANK(G864:G864)+COUNTBLANK(O864:AJ864))&amp;" datos obligatorios",IF(NOT(ISNUMBER(B864)),"Fecha no válida",IF(N(B864)&gt;TODAY(),"Fecha futura",IF(IFERROR(VLOOKUP(E864,LISTAS!$A$2:$C$65,3,FALSE),"")&lt;&gt;D864,"La subregión no corresponde al municipio",IF(IF(L864="",FALSE,OR(L864&lt;0,L864&gt;110)),"Edad fuera de rango",IF((V864="Sí")+(W864="Sí")+(X864="Sí")+(Y864="Sí")=0,"Marque al menos un tipo de violencia","OK")))))))</f>
        <v/>
      </c>
    </row>
    <row r="865">
      <c r="A865" s="12">
        <f>IF(OR(F865="",F865="Revisar",C865=""),"",F865&amp;"-"&amp;C865&amp;"-"&amp;TEXT(COUNTIFS($F$2:F865,F865,$C$2:C865,C865),"0000"))</f>
        <v/>
      </c>
      <c r="B865" s="13" t="n"/>
      <c r="C865" s="12">
        <f>IF(ISNUMBER(B865),YEAR(B865),"")</f>
        <v/>
      </c>
      <c r="D865" s="14" t="n"/>
      <c r="E865" s="14" t="n"/>
      <c r="F865" s="12">
        <f>IF(E865="","",IFERROR(VLOOKUP(E865,LISTAS!$A$2:$C$65,2,FALSE),"Revisar"))</f>
        <v/>
      </c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  <c r="AA865" s="14" t="n"/>
      <c r="AB865" s="14" t="n"/>
      <c r="AC865" s="14" t="n"/>
      <c r="AD865" s="14" t="n"/>
      <c r="AE865" s="14" t="n"/>
      <c r="AF865" s="14" t="n"/>
      <c r="AG865" s="14" t="n"/>
      <c r="AH865" s="14" t="n"/>
      <c r="AI865" s="14" t="n"/>
      <c r="AJ865" s="14" t="n"/>
      <c r="AK865" s="12">
        <f>IF(COUNTA(B865:B865)+COUNTA(D865:E865)+COUNTA(G865:AJ865)=0,"",IF(COUNTBLANK(B865:B865)+COUNTBLANK(D865:E865)+COUNTBLANK(G865:G865)+COUNTBLANK(O865:AJ865)&gt;0,"Faltan "&amp;(COUNTBLANK(B865:B865)+COUNTBLANK(D865:E865)+COUNTBLANK(G865:G865)+COUNTBLANK(O865:AJ865))&amp;" datos obligatorios",IF(NOT(ISNUMBER(B865)),"Fecha no válida",IF(N(B865)&gt;TODAY(),"Fecha futura",IF(IFERROR(VLOOKUP(E865,LISTAS!$A$2:$C$65,3,FALSE),"")&lt;&gt;D865,"La subregión no corresponde al municipio",IF(IF(L865="",FALSE,OR(L865&lt;0,L865&gt;110)),"Edad fuera de rango",IF((V865="Sí")+(W865="Sí")+(X865="Sí")+(Y865="Sí")=0,"Marque al menos un tipo de violencia","OK")))))))</f>
        <v/>
      </c>
    </row>
    <row r="866">
      <c r="A866" s="12">
        <f>IF(OR(F866="",F866="Revisar",C866=""),"",F866&amp;"-"&amp;C866&amp;"-"&amp;TEXT(COUNTIFS($F$2:F866,F866,$C$2:C866,C866),"0000"))</f>
        <v/>
      </c>
      <c r="B866" s="13" t="n"/>
      <c r="C866" s="12">
        <f>IF(ISNUMBER(B866),YEAR(B866),"")</f>
        <v/>
      </c>
      <c r="D866" s="14" t="n"/>
      <c r="E866" s="14" t="n"/>
      <c r="F866" s="12">
        <f>IF(E866="","",IFERROR(VLOOKUP(E866,LISTAS!$A$2:$C$65,2,FALSE),"Revisar"))</f>
        <v/>
      </c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  <c r="AH866" s="14" t="n"/>
      <c r="AI866" s="14" t="n"/>
      <c r="AJ866" s="14" t="n"/>
      <c r="AK866" s="12">
        <f>IF(COUNTA(B866:B866)+COUNTA(D866:E866)+COUNTA(G866:AJ866)=0,"",IF(COUNTBLANK(B866:B866)+COUNTBLANK(D866:E866)+COUNTBLANK(G866:G866)+COUNTBLANK(O866:AJ866)&gt;0,"Faltan "&amp;(COUNTBLANK(B866:B866)+COUNTBLANK(D866:E866)+COUNTBLANK(G866:G866)+COUNTBLANK(O866:AJ866))&amp;" datos obligatorios",IF(NOT(ISNUMBER(B866)),"Fecha no válida",IF(N(B866)&gt;TODAY(),"Fecha futura",IF(IFERROR(VLOOKUP(E866,LISTAS!$A$2:$C$65,3,FALSE),"")&lt;&gt;D866,"La subregión no corresponde al municipio",IF(IF(L866="",FALSE,OR(L866&lt;0,L866&gt;110)),"Edad fuera de rango",IF((V866="Sí")+(W866="Sí")+(X866="Sí")+(Y866="Sí")=0,"Marque al menos un tipo de violencia","OK")))))))</f>
        <v/>
      </c>
    </row>
    <row r="867">
      <c r="A867" s="12">
        <f>IF(OR(F867="",F867="Revisar",C867=""),"",F867&amp;"-"&amp;C867&amp;"-"&amp;TEXT(COUNTIFS($F$2:F867,F867,$C$2:C867,C867),"0000"))</f>
        <v/>
      </c>
      <c r="B867" s="13" t="n"/>
      <c r="C867" s="12">
        <f>IF(ISNUMBER(B867),YEAR(B867),"")</f>
        <v/>
      </c>
      <c r="D867" s="14" t="n"/>
      <c r="E867" s="14" t="n"/>
      <c r="F867" s="12">
        <f>IF(E867="","",IFERROR(VLOOKUP(E867,LISTAS!$A$2:$C$65,2,FALSE),"Revisar"))</f>
        <v/>
      </c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  <c r="AA867" s="14" t="n"/>
      <c r="AB867" s="14" t="n"/>
      <c r="AC867" s="14" t="n"/>
      <c r="AD867" s="14" t="n"/>
      <c r="AE867" s="14" t="n"/>
      <c r="AF867" s="14" t="n"/>
      <c r="AG867" s="14" t="n"/>
      <c r="AH867" s="14" t="n"/>
      <c r="AI867" s="14" t="n"/>
      <c r="AJ867" s="14" t="n"/>
      <c r="AK867" s="12">
        <f>IF(COUNTA(B867:B867)+COUNTA(D867:E867)+COUNTA(G867:AJ867)=0,"",IF(COUNTBLANK(B867:B867)+COUNTBLANK(D867:E867)+COUNTBLANK(G867:G867)+COUNTBLANK(O867:AJ867)&gt;0,"Faltan "&amp;(COUNTBLANK(B867:B867)+COUNTBLANK(D867:E867)+COUNTBLANK(G867:G867)+COUNTBLANK(O867:AJ867))&amp;" datos obligatorios",IF(NOT(ISNUMBER(B867)),"Fecha no válida",IF(N(B867)&gt;TODAY(),"Fecha futura",IF(IFERROR(VLOOKUP(E867,LISTAS!$A$2:$C$65,3,FALSE),"")&lt;&gt;D867,"La subregión no corresponde al municipio",IF(IF(L867="",FALSE,OR(L867&lt;0,L867&gt;110)),"Edad fuera de rango",IF((V867="Sí")+(W867="Sí")+(X867="Sí")+(Y867="Sí")=0,"Marque al menos un tipo de violencia","OK")))))))</f>
        <v/>
      </c>
    </row>
    <row r="868">
      <c r="A868" s="12">
        <f>IF(OR(F868="",F868="Revisar",C868=""),"",F868&amp;"-"&amp;C868&amp;"-"&amp;TEXT(COUNTIFS($F$2:F868,F868,$C$2:C868,C868),"0000"))</f>
        <v/>
      </c>
      <c r="B868" s="13" t="n"/>
      <c r="C868" s="12">
        <f>IF(ISNUMBER(B868),YEAR(B868),"")</f>
        <v/>
      </c>
      <c r="D868" s="14" t="n"/>
      <c r="E868" s="14" t="n"/>
      <c r="F868" s="12">
        <f>IF(E868="","",IFERROR(VLOOKUP(E868,LISTAS!$A$2:$C$65,2,FALSE),"Revisar"))</f>
        <v/>
      </c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  <c r="AH868" s="14" t="n"/>
      <c r="AI868" s="14" t="n"/>
      <c r="AJ868" s="14" t="n"/>
      <c r="AK868" s="12">
        <f>IF(COUNTA(B868:B868)+COUNTA(D868:E868)+COUNTA(G868:AJ868)=0,"",IF(COUNTBLANK(B868:B868)+COUNTBLANK(D868:E868)+COUNTBLANK(G868:G868)+COUNTBLANK(O868:AJ868)&gt;0,"Faltan "&amp;(COUNTBLANK(B868:B868)+COUNTBLANK(D868:E868)+COUNTBLANK(G868:G868)+COUNTBLANK(O868:AJ868))&amp;" datos obligatorios",IF(NOT(ISNUMBER(B868)),"Fecha no válida",IF(N(B868)&gt;TODAY(),"Fecha futura",IF(IFERROR(VLOOKUP(E868,LISTAS!$A$2:$C$65,3,FALSE),"")&lt;&gt;D868,"La subregión no corresponde al municipio",IF(IF(L868="",FALSE,OR(L868&lt;0,L868&gt;110)),"Edad fuera de rango",IF((V868="Sí")+(W868="Sí")+(X868="Sí")+(Y868="Sí")=0,"Marque al menos un tipo de violencia","OK")))))))</f>
        <v/>
      </c>
    </row>
    <row r="869">
      <c r="A869" s="12">
        <f>IF(OR(F869="",F869="Revisar",C869=""),"",F869&amp;"-"&amp;C869&amp;"-"&amp;TEXT(COUNTIFS($F$2:F869,F869,$C$2:C869,C869),"0000"))</f>
        <v/>
      </c>
      <c r="B869" s="13" t="n"/>
      <c r="C869" s="12">
        <f>IF(ISNUMBER(B869),YEAR(B869),"")</f>
        <v/>
      </c>
      <c r="D869" s="14" t="n"/>
      <c r="E869" s="14" t="n"/>
      <c r="F869" s="12">
        <f>IF(E869="","",IFERROR(VLOOKUP(E869,LISTAS!$A$2:$C$65,2,FALSE),"Revisar"))</f>
        <v/>
      </c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  <c r="AA869" s="14" t="n"/>
      <c r="AB869" s="14" t="n"/>
      <c r="AC869" s="14" t="n"/>
      <c r="AD869" s="14" t="n"/>
      <c r="AE869" s="14" t="n"/>
      <c r="AF869" s="14" t="n"/>
      <c r="AG869" s="14" t="n"/>
      <c r="AH869" s="14" t="n"/>
      <c r="AI869" s="14" t="n"/>
      <c r="AJ869" s="14" t="n"/>
      <c r="AK869" s="12">
        <f>IF(COUNTA(B869:B869)+COUNTA(D869:E869)+COUNTA(G869:AJ869)=0,"",IF(COUNTBLANK(B869:B869)+COUNTBLANK(D869:E869)+COUNTBLANK(G869:G869)+COUNTBLANK(O869:AJ869)&gt;0,"Faltan "&amp;(COUNTBLANK(B869:B869)+COUNTBLANK(D869:E869)+COUNTBLANK(G869:G869)+COUNTBLANK(O869:AJ869))&amp;" datos obligatorios",IF(NOT(ISNUMBER(B869)),"Fecha no válida",IF(N(B869)&gt;TODAY(),"Fecha futura",IF(IFERROR(VLOOKUP(E869,LISTAS!$A$2:$C$65,3,FALSE),"")&lt;&gt;D869,"La subregión no corresponde al municipio",IF(IF(L869="",FALSE,OR(L869&lt;0,L869&gt;110)),"Edad fuera de rango",IF((V869="Sí")+(W869="Sí")+(X869="Sí")+(Y869="Sí")=0,"Marque al menos un tipo de violencia","OK")))))))</f>
        <v/>
      </c>
    </row>
    <row r="870">
      <c r="A870" s="12">
        <f>IF(OR(F870="",F870="Revisar",C870=""),"",F870&amp;"-"&amp;C870&amp;"-"&amp;TEXT(COUNTIFS($F$2:F870,F870,$C$2:C870,C870),"0000"))</f>
        <v/>
      </c>
      <c r="B870" s="13" t="n"/>
      <c r="C870" s="12">
        <f>IF(ISNUMBER(B870),YEAR(B870),"")</f>
        <v/>
      </c>
      <c r="D870" s="14" t="n"/>
      <c r="E870" s="14" t="n"/>
      <c r="F870" s="12">
        <f>IF(E870="","",IFERROR(VLOOKUP(E870,LISTAS!$A$2:$C$65,2,FALSE),"Revisar"))</f>
        <v/>
      </c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  <c r="AH870" s="14" t="n"/>
      <c r="AI870" s="14" t="n"/>
      <c r="AJ870" s="14" t="n"/>
      <c r="AK870" s="12">
        <f>IF(COUNTA(B870:B870)+COUNTA(D870:E870)+COUNTA(G870:AJ870)=0,"",IF(COUNTBLANK(B870:B870)+COUNTBLANK(D870:E870)+COUNTBLANK(G870:G870)+COUNTBLANK(O870:AJ870)&gt;0,"Faltan "&amp;(COUNTBLANK(B870:B870)+COUNTBLANK(D870:E870)+COUNTBLANK(G870:G870)+COUNTBLANK(O870:AJ870))&amp;" datos obligatorios",IF(NOT(ISNUMBER(B870)),"Fecha no válida",IF(N(B870)&gt;TODAY(),"Fecha futura",IF(IFERROR(VLOOKUP(E870,LISTAS!$A$2:$C$65,3,FALSE),"")&lt;&gt;D870,"La subregión no corresponde al municipio",IF(IF(L870="",FALSE,OR(L870&lt;0,L870&gt;110)),"Edad fuera de rango",IF((V870="Sí")+(W870="Sí")+(X870="Sí")+(Y870="Sí")=0,"Marque al menos un tipo de violencia","OK")))))))</f>
        <v/>
      </c>
    </row>
    <row r="871">
      <c r="A871" s="12">
        <f>IF(OR(F871="",F871="Revisar",C871=""),"",F871&amp;"-"&amp;C871&amp;"-"&amp;TEXT(COUNTIFS($F$2:F871,F871,$C$2:C871,C871),"0000"))</f>
        <v/>
      </c>
      <c r="B871" s="13" t="n"/>
      <c r="C871" s="12">
        <f>IF(ISNUMBER(B871),YEAR(B871),"")</f>
        <v/>
      </c>
      <c r="D871" s="14" t="n"/>
      <c r="E871" s="14" t="n"/>
      <c r="F871" s="12">
        <f>IF(E871="","",IFERROR(VLOOKUP(E871,LISTAS!$A$2:$C$65,2,FALSE),"Revisar"))</f>
        <v/>
      </c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  <c r="AA871" s="14" t="n"/>
      <c r="AB871" s="14" t="n"/>
      <c r="AC871" s="14" t="n"/>
      <c r="AD871" s="14" t="n"/>
      <c r="AE871" s="14" t="n"/>
      <c r="AF871" s="14" t="n"/>
      <c r="AG871" s="14" t="n"/>
      <c r="AH871" s="14" t="n"/>
      <c r="AI871" s="14" t="n"/>
      <c r="AJ871" s="14" t="n"/>
      <c r="AK871" s="12">
        <f>IF(COUNTA(B871:B871)+COUNTA(D871:E871)+COUNTA(G871:AJ871)=0,"",IF(COUNTBLANK(B871:B871)+COUNTBLANK(D871:E871)+COUNTBLANK(G871:G871)+COUNTBLANK(O871:AJ871)&gt;0,"Faltan "&amp;(COUNTBLANK(B871:B871)+COUNTBLANK(D871:E871)+COUNTBLANK(G871:G871)+COUNTBLANK(O871:AJ871))&amp;" datos obligatorios",IF(NOT(ISNUMBER(B871)),"Fecha no válida",IF(N(B871)&gt;TODAY(),"Fecha futura",IF(IFERROR(VLOOKUP(E871,LISTAS!$A$2:$C$65,3,FALSE),"")&lt;&gt;D871,"La subregión no corresponde al municipio",IF(IF(L871="",FALSE,OR(L871&lt;0,L871&gt;110)),"Edad fuera de rango",IF((V871="Sí")+(W871="Sí")+(X871="Sí")+(Y871="Sí")=0,"Marque al menos un tipo de violencia","OK")))))))</f>
        <v/>
      </c>
    </row>
    <row r="872">
      <c r="A872" s="12">
        <f>IF(OR(F872="",F872="Revisar",C872=""),"",F872&amp;"-"&amp;C872&amp;"-"&amp;TEXT(COUNTIFS($F$2:F872,F872,$C$2:C872,C872),"0000"))</f>
        <v/>
      </c>
      <c r="B872" s="13" t="n"/>
      <c r="C872" s="12">
        <f>IF(ISNUMBER(B872),YEAR(B872),"")</f>
        <v/>
      </c>
      <c r="D872" s="14" t="n"/>
      <c r="E872" s="14" t="n"/>
      <c r="F872" s="12">
        <f>IF(E872="","",IFERROR(VLOOKUP(E872,LISTAS!$A$2:$C$65,2,FALSE),"Revisar"))</f>
        <v/>
      </c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  <c r="AH872" s="14" t="n"/>
      <c r="AI872" s="14" t="n"/>
      <c r="AJ872" s="14" t="n"/>
      <c r="AK872" s="12">
        <f>IF(COUNTA(B872:B872)+COUNTA(D872:E872)+COUNTA(G872:AJ872)=0,"",IF(COUNTBLANK(B872:B872)+COUNTBLANK(D872:E872)+COUNTBLANK(G872:G872)+COUNTBLANK(O872:AJ872)&gt;0,"Faltan "&amp;(COUNTBLANK(B872:B872)+COUNTBLANK(D872:E872)+COUNTBLANK(G872:G872)+COUNTBLANK(O872:AJ872))&amp;" datos obligatorios",IF(NOT(ISNUMBER(B872)),"Fecha no válida",IF(N(B872)&gt;TODAY(),"Fecha futura",IF(IFERROR(VLOOKUP(E872,LISTAS!$A$2:$C$65,3,FALSE),"")&lt;&gt;D872,"La subregión no corresponde al municipio",IF(IF(L872="",FALSE,OR(L872&lt;0,L872&gt;110)),"Edad fuera de rango",IF((V872="Sí")+(W872="Sí")+(X872="Sí")+(Y872="Sí")=0,"Marque al menos un tipo de violencia","OK")))))))</f>
        <v/>
      </c>
    </row>
    <row r="873">
      <c r="A873" s="12">
        <f>IF(OR(F873="",F873="Revisar",C873=""),"",F873&amp;"-"&amp;C873&amp;"-"&amp;TEXT(COUNTIFS($F$2:F873,F873,$C$2:C873,C873),"0000"))</f>
        <v/>
      </c>
      <c r="B873" s="13" t="n"/>
      <c r="C873" s="12">
        <f>IF(ISNUMBER(B873),YEAR(B873),"")</f>
        <v/>
      </c>
      <c r="D873" s="14" t="n"/>
      <c r="E873" s="14" t="n"/>
      <c r="F873" s="12">
        <f>IF(E873="","",IFERROR(VLOOKUP(E873,LISTAS!$A$2:$C$65,2,FALSE),"Revisar"))</f>
        <v/>
      </c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/>
      <c r="AF873" s="14" t="n"/>
      <c r="AG873" s="14" t="n"/>
      <c r="AH873" s="14" t="n"/>
      <c r="AI873" s="14" t="n"/>
      <c r="AJ873" s="14" t="n"/>
      <c r="AK873" s="12">
        <f>IF(COUNTA(B873:B873)+COUNTA(D873:E873)+COUNTA(G873:AJ873)=0,"",IF(COUNTBLANK(B873:B873)+COUNTBLANK(D873:E873)+COUNTBLANK(G873:G873)+COUNTBLANK(O873:AJ873)&gt;0,"Faltan "&amp;(COUNTBLANK(B873:B873)+COUNTBLANK(D873:E873)+COUNTBLANK(G873:G873)+COUNTBLANK(O873:AJ873))&amp;" datos obligatorios",IF(NOT(ISNUMBER(B873)),"Fecha no válida",IF(N(B873)&gt;TODAY(),"Fecha futura",IF(IFERROR(VLOOKUP(E873,LISTAS!$A$2:$C$65,3,FALSE),"")&lt;&gt;D873,"La subregión no corresponde al municipio",IF(IF(L873="",FALSE,OR(L873&lt;0,L873&gt;110)),"Edad fuera de rango",IF((V873="Sí")+(W873="Sí")+(X873="Sí")+(Y873="Sí")=0,"Marque al menos un tipo de violencia","OK")))))))</f>
        <v/>
      </c>
    </row>
    <row r="874">
      <c r="A874" s="12">
        <f>IF(OR(F874="",F874="Revisar",C874=""),"",F874&amp;"-"&amp;C874&amp;"-"&amp;TEXT(COUNTIFS($F$2:F874,F874,$C$2:C874,C874),"0000"))</f>
        <v/>
      </c>
      <c r="B874" s="13" t="n"/>
      <c r="C874" s="12">
        <f>IF(ISNUMBER(B874),YEAR(B874),"")</f>
        <v/>
      </c>
      <c r="D874" s="14" t="n"/>
      <c r="E874" s="14" t="n"/>
      <c r="F874" s="12">
        <f>IF(E874="","",IFERROR(VLOOKUP(E874,LISTAS!$A$2:$C$65,2,FALSE),"Revisar"))</f>
        <v/>
      </c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  <c r="AH874" s="14" t="n"/>
      <c r="AI874" s="14" t="n"/>
      <c r="AJ874" s="14" t="n"/>
      <c r="AK874" s="12">
        <f>IF(COUNTA(B874:B874)+COUNTA(D874:E874)+COUNTA(G874:AJ874)=0,"",IF(COUNTBLANK(B874:B874)+COUNTBLANK(D874:E874)+COUNTBLANK(G874:G874)+COUNTBLANK(O874:AJ874)&gt;0,"Faltan "&amp;(COUNTBLANK(B874:B874)+COUNTBLANK(D874:E874)+COUNTBLANK(G874:G874)+COUNTBLANK(O874:AJ874))&amp;" datos obligatorios",IF(NOT(ISNUMBER(B874)),"Fecha no válida",IF(N(B874)&gt;TODAY(),"Fecha futura",IF(IFERROR(VLOOKUP(E874,LISTAS!$A$2:$C$65,3,FALSE),"")&lt;&gt;D874,"La subregión no corresponde al municipio",IF(IF(L874="",FALSE,OR(L874&lt;0,L874&gt;110)),"Edad fuera de rango",IF((V874="Sí")+(W874="Sí")+(X874="Sí")+(Y874="Sí")=0,"Marque al menos un tipo de violencia","OK")))))))</f>
        <v/>
      </c>
    </row>
    <row r="875">
      <c r="A875" s="12">
        <f>IF(OR(F875="",F875="Revisar",C875=""),"",F875&amp;"-"&amp;C875&amp;"-"&amp;TEXT(COUNTIFS($F$2:F875,F875,$C$2:C875,C875),"0000"))</f>
        <v/>
      </c>
      <c r="B875" s="13" t="n"/>
      <c r="C875" s="12">
        <f>IF(ISNUMBER(B875),YEAR(B875),"")</f>
        <v/>
      </c>
      <c r="D875" s="14" t="n"/>
      <c r="E875" s="14" t="n"/>
      <c r="F875" s="12">
        <f>IF(E875="","",IFERROR(VLOOKUP(E875,LISTAS!$A$2:$C$65,2,FALSE),"Revisar"))</f>
        <v/>
      </c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/>
      <c r="AF875" s="14" t="n"/>
      <c r="AG875" s="14" t="n"/>
      <c r="AH875" s="14" t="n"/>
      <c r="AI875" s="14" t="n"/>
      <c r="AJ875" s="14" t="n"/>
      <c r="AK875" s="12">
        <f>IF(COUNTA(B875:B875)+COUNTA(D875:E875)+COUNTA(G875:AJ875)=0,"",IF(COUNTBLANK(B875:B875)+COUNTBLANK(D875:E875)+COUNTBLANK(G875:G875)+COUNTBLANK(O875:AJ875)&gt;0,"Faltan "&amp;(COUNTBLANK(B875:B875)+COUNTBLANK(D875:E875)+COUNTBLANK(G875:G875)+COUNTBLANK(O875:AJ875))&amp;" datos obligatorios",IF(NOT(ISNUMBER(B875)),"Fecha no válida",IF(N(B875)&gt;TODAY(),"Fecha futura",IF(IFERROR(VLOOKUP(E875,LISTAS!$A$2:$C$65,3,FALSE),"")&lt;&gt;D875,"La subregión no corresponde al municipio",IF(IF(L875="",FALSE,OR(L875&lt;0,L875&gt;110)),"Edad fuera de rango",IF((V875="Sí")+(W875="Sí")+(X875="Sí")+(Y875="Sí")=0,"Marque al menos un tipo de violencia","OK")))))))</f>
        <v/>
      </c>
    </row>
    <row r="876">
      <c r="A876" s="12">
        <f>IF(OR(F876="",F876="Revisar",C876=""),"",F876&amp;"-"&amp;C876&amp;"-"&amp;TEXT(COUNTIFS($F$2:F876,F876,$C$2:C876,C876),"0000"))</f>
        <v/>
      </c>
      <c r="B876" s="13" t="n"/>
      <c r="C876" s="12">
        <f>IF(ISNUMBER(B876),YEAR(B876),"")</f>
        <v/>
      </c>
      <c r="D876" s="14" t="n"/>
      <c r="E876" s="14" t="n"/>
      <c r="F876" s="12">
        <f>IF(E876="","",IFERROR(VLOOKUP(E876,LISTAS!$A$2:$C$65,2,FALSE),"Revisar"))</f>
        <v/>
      </c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  <c r="AH876" s="14" t="n"/>
      <c r="AI876" s="14" t="n"/>
      <c r="AJ876" s="14" t="n"/>
      <c r="AK876" s="12">
        <f>IF(COUNTA(B876:B876)+COUNTA(D876:E876)+COUNTA(G876:AJ876)=0,"",IF(COUNTBLANK(B876:B876)+COUNTBLANK(D876:E876)+COUNTBLANK(G876:G876)+COUNTBLANK(O876:AJ876)&gt;0,"Faltan "&amp;(COUNTBLANK(B876:B876)+COUNTBLANK(D876:E876)+COUNTBLANK(G876:G876)+COUNTBLANK(O876:AJ876))&amp;" datos obligatorios",IF(NOT(ISNUMBER(B876)),"Fecha no válida",IF(N(B876)&gt;TODAY(),"Fecha futura",IF(IFERROR(VLOOKUP(E876,LISTAS!$A$2:$C$65,3,FALSE),"")&lt;&gt;D876,"La subregión no corresponde al municipio",IF(IF(L876="",FALSE,OR(L876&lt;0,L876&gt;110)),"Edad fuera de rango",IF((V876="Sí")+(W876="Sí")+(X876="Sí")+(Y876="Sí")=0,"Marque al menos un tipo de violencia","OK")))))))</f>
        <v/>
      </c>
    </row>
    <row r="877">
      <c r="A877" s="12">
        <f>IF(OR(F877="",F877="Revisar",C877=""),"",F877&amp;"-"&amp;C877&amp;"-"&amp;TEXT(COUNTIFS($F$2:F877,F877,$C$2:C877,C877),"0000"))</f>
        <v/>
      </c>
      <c r="B877" s="13" t="n"/>
      <c r="C877" s="12">
        <f>IF(ISNUMBER(B877),YEAR(B877),"")</f>
        <v/>
      </c>
      <c r="D877" s="14" t="n"/>
      <c r="E877" s="14" t="n"/>
      <c r="F877" s="12">
        <f>IF(E877="","",IFERROR(VLOOKUP(E877,LISTAS!$A$2:$C$65,2,FALSE),"Revisar"))</f>
        <v/>
      </c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/>
      <c r="AH877" s="14" t="n"/>
      <c r="AI877" s="14" t="n"/>
      <c r="AJ877" s="14" t="n"/>
      <c r="AK877" s="12">
        <f>IF(COUNTA(B877:B877)+COUNTA(D877:E877)+COUNTA(G877:AJ877)=0,"",IF(COUNTBLANK(B877:B877)+COUNTBLANK(D877:E877)+COUNTBLANK(G877:G877)+COUNTBLANK(O877:AJ877)&gt;0,"Faltan "&amp;(COUNTBLANK(B877:B877)+COUNTBLANK(D877:E877)+COUNTBLANK(G877:G877)+COUNTBLANK(O877:AJ877))&amp;" datos obligatorios",IF(NOT(ISNUMBER(B877)),"Fecha no válida",IF(N(B877)&gt;TODAY(),"Fecha futura",IF(IFERROR(VLOOKUP(E877,LISTAS!$A$2:$C$65,3,FALSE),"")&lt;&gt;D877,"La subregión no corresponde al municipio",IF(IF(L877="",FALSE,OR(L877&lt;0,L877&gt;110)),"Edad fuera de rango",IF((V877="Sí")+(W877="Sí")+(X877="Sí")+(Y877="Sí")=0,"Marque al menos un tipo de violencia","OK")))))))</f>
        <v/>
      </c>
    </row>
    <row r="878">
      <c r="A878" s="12">
        <f>IF(OR(F878="",F878="Revisar",C878=""),"",F878&amp;"-"&amp;C878&amp;"-"&amp;TEXT(COUNTIFS($F$2:F878,F878,$C$2:C878,C878),"0000"))</f>
        <v/>
      </c>
      <c r="B878" s="13" t="n"/>
      <c r="C878" s="12">
        <f>IF(ISNUMBER(B878),YEAR(B878),"")</f>
        <v/>
      </c>
      <c r="D878" s="14" t="n"/>
      <c r="E878" s="14" t="n"/>
      <c r="F878" s="12">
        <f>IF(E878="","",IFERROR(VLOOKUP(E878,LISTAS!$A$2:$C$65,2,FALSE),"Revisar"))</f>
        <v/>
      </c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  <c r="AH878" s="14" t="n"/>
      <c r="AI878" s="14" t="n"/>
      <c r="AJ878" s="14" t="n"/>
      <c r="AK878" s="12">
        <f>IF(COUNTA(B878:B878)+COUNTA(D878:E878)+COUNTA(G878:AJ878)=0,"",IF(COUNTBLANK(B878:B878)+COUNTBLANK(D878:E878)+COUNTBLANK(G878:G878)+COUNTBLANK(O878:AJ878)&gt;0,"Faltan "&amp;(COUNTBLANK(B878:B878)+COUNTBLANK(D878:E878)+COUNTBLANK(G878:G878)+COUNTBLANK(O878:AJ878))&amp;" datos obligatorios",IF(NOT(ISNUMBER(B878)),"Fecha no válida",IF(N(B878)&gt;TODAY(),"Fecha futura",IF(IFERROR(VLOOKUP(E878,LISTAS!$A$2:$C$65,3,FALSE),"")&lt;&gt;D878,"La subregión no corresponde al municipio",IF(IF(L878="",FALSE,OR(L878&lt;0,L878&gt;110)),"Edad fuera de rango",IF((V878="Sí")+(W878="Sí")+(X878="Sí")+(Y878="Sí")=0,"Marque al menos un tipo de violencia","OK")))))))</f>
        <v/>
      </c>
    </row>
    <row r="879">
      <c r="A879" s="12">
        <f>IF(OR(F879="",F879="Revisar",C879=""),"",F879&amp;"-"&amp;C879&amp;"-"&amp;TEXT(COUNTIFS($F$2:F879,F879,$C$2:C879,C879),"0000"))</f>
        <v/>
      </c>
      <c r="B879" s="13" t="n"/>
      <c r="C879" s="12">
        <f>IF(ISNUMBER(B879),YEAR(B879),"")</f>
        <v/>
      </c>
      <c r="D879" s="14" t="n"/>
      <c r="E879" s="14" t="n"/>
      <c r="F879" s="12">
        <f>IF(E879="","",IFERROR(VLOOKUP(E879,LISTAS!$A$2:$C$65,2,FALSE),"Revisar"))</f>
        <v/>
      </c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  <c r="AA879" s="14" t="n"/>
      <c r="AB879" s="14" t="n"/>
      <c r="AC879" s="14" t="n"/>
      <c r="AD879" s="14" t="n"/>
      <c r="AE879" s="14" t="n"/>
      <c r="AF879" s="14" t="n"/>
      <c r="AG879" s="14" t="n"/>
      <c r="AH879" s="14" t="n"/>
      <c r="AI879" s="14" t="n"/>
      <c r="AJ879" s="14" t="n"/>
      <c r="AK879" s="12">
        <f>IF(COUNTA(B879:B879)+COUNTA(D879:E879)+COUNTA(G879:AJ879)=0,"",IF(COUNTBLANK(B879:B879)+COUNTBLANK(D879:E879)+COUNTBLANK(G879:G879)+COUNTBLANK(O879:AJ879)&gt;0,"Faltan "&amp;(COUNTBLANK(B879:B879)+COUNTBLANK(D879:E879)+COUNTBLANK(G879:G879)+COUNTBLANK(O879:AJ879))&amp;" datos obligatorios",IF(NOT(ISNUMBER(B879)),"Fecha no válida",IF(N(B879)&gt;TODAY(),"Fecha futura",IF(IFERROR(VLOOKUP(E879,LISTAS!$A$2:$C$65,3,FALSE),"")&lt;&gt;D879,"La subregión no corresponde al municipio",IF(IF(L879="",FALSE,OR(L879&lt;0,L879&gt;110)),"Edad fuera de rango",IF((V879="Sí")+(W879="Sí")+(X879="Sí")+(Y879="Sí")=0,"Marque al menos un tipo de violencia","OK")))))))</f>
        <v/>
      </c>
    </row>
    <row r="880">
      <c r="A880" s="12">
        <f>IF(OR(F880="",F880="Revisar",C880=""),"",F880&amp;"-"&amp;C880&amp;"-"&amp;TEXT(COUNTIFS($F$2:F880,F880,$C$2:C880,C880),"0000"))</f>
        <v/>
      </c>
      <c r="B880" s="13" t="n"/>
      <c r="C880" s="12">
        <f>IF(ISNUMBER(B880),YEAR(B880),"")</f>
        <v/>
      </c>
      <c r="D880" s="14" t="n"/>
      <c r="E880" s="14" t="n"/>
      <c r="F880" s="12">
        <f>IF(E880="","",IFERROR(VLOOKUP(E880,LISTAS!$A$2:$C$65,2,FALSE),"Revisar"))</f>
        <v/>
      </c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  <c r="AH880" s="14" t="n"/>
      <c r="AI880" s="14" t="n"/>
      <c r="AJ880" s="14" t="n"/>
      <c r="AK880" s="12">
        <f>IF(COUNTA(B880:B880)+COUNTA(D880:E880)+COUNTA(G880:AJ880)=0,"",IF(COUNTBLANK(B880:B880)+COUNTBLANK(D880:E880)+COUNTBLANK(G880:G880)+COUNTBLANK(O880:AJ880)&gt;0,"Faltan "&amp;(COUNTBLANK(B880:B880)+COUNTBLANK(D880:E880)+COUNTBLANK(G880:G880)+COUNTBLANK(O880:AJ880))&amp;" datos obligatorios",IF(NOT(ISNUMBER(B880)),"Fecha no válida",IF(N(B880)&gt;TODAY(),"Fecha futura",IF(IFERROR(VLOOKUP(E880,LISTAS!$A$2:$C$65,3,FALSE),"")&lt;&gt;D880,"La subregión no corresponde al municipio",IF(IF(L880="",FALSE,OR(L880&lt;0,L880&gt;110)),"Edad fuera de rango",IF((V880="Sí")+(W880="Sí")+(X880="Sí")+(Y880="Sí")=0,"Marque al menos un tipo de violencia","OK")))))))</f>
        <v/>
      </c>
    </row>
    <row r="881">
      <c r="A881" s="12">
        <f>IF(OR(F881="",F881="Revisar",C881=""),"",F881&amp;"-"&amp;C881&amp;"-"&amp;TEXT(COUNTIFS($F$2:F881,F881,$C$2:C881,C881),"0000"))</f>
        <v/>
      </c>
      <c r="B881" s="13" t="n"/>
      <c r="C881" s="12">
        <f>IF(ISNUMBER(B881),YEAR(B881),"")</f>
        <v/>
      </c>
      <c r="D881" s="14" t="n"/>
      <c r="E881" s="14" t="n"/>
      <c r="F881" s="12">
        <f>IF(E881="","",IFERROR(VLOOKUP(E881,LISTAS!$A$2:$C$65,2,FALSE),"Revisar"))</f>
        <v/>
      </c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/>
      <c r="AH881" s="14" t="n"/>
      <c r="AI881" s="14" t="n"/>
      <c r="AJ881" s="14" t="n"/>
      <c r="AK881" s="12">
        <f>IF(COUNTA(B881:B881)+COUNTA(D881:E881)+COUNTA(G881:AJ881)=0,"",IF(COUNTBLANK(B881:B881)+COUNTBLANK(D881:E881)+COUNTBLANK(G881:G881)+COUNTBLANK(O881:AJ881)&gt;0,"Faltan "&amp;(COUNTBLANK(B881:B881)+COUNTBLANK(D881:E881)+COUNTBLANK(G881:G881)+COUNTBLANK(O881:AJ881))&amp;" datos obligatorios",IF(NOT(ISNUMBER(B881)),"Fecha no válida",IF(N(B881)&gt;TODAY(),"Fecha futura",IF(IFERROR(VLOOKUP(E881,LISTAS!$A$2:$C$65,3,FALSE),"")&lt;&gt;D881,"La subregión no corresponde al municipio",IF(IF(L881="",FALSE,OR(L881&lt;0,L881&gt;110)),"Edad fuera de rango",IF((V881="Sí")+(W881="Sí")+(X881="Sí")+(Y881="Sí")=0,"Marque al menos un tipo de violencia","OK")))))))</f>
        <v/>
      </c>
    </row>
    <row r="882">
      <c r="A882" s="12">
        <f>IF(OR(F882="",F882="Revisar",C882=""),"",F882&amp;"-"&amp;C882&amp;"-"&amp;TEXT(COUNTIFS($F$2:F882,F882,$C$2:C882,C882),"0000"))</f>
        <v/>
      </c>
      <c r="B882" s="13" t="n"/>
      <c r="C882" s="12">
        <f>IF(ISNUMBER(B882),YEAR(B882),"")</f>
        <v/>
      </c>
      <c r="D882" s="14" t="n"/>
      <c r="E882" s="14" t="n"/>
      <c r="F882" s="12">
        <f>IF(E882="","",IFERROR(VLOOKUP(E882,LISTAS!$A$2:$C$65,2,FALSE),"Revisar"))</f>
        <v/>
      </c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  <c r="AH882" s="14" t="n"/>
      <c r="AI882" s="14" t="n"/>
      <c r="AJ882" s="14" t="n"/>
      <c r="AK882" s="12">
        <f>IF(COUNTA(B882:B882)+COUNTA(D882:E882)+COUNTA(G882:AJ882)=0,"",IF(COUNTBLANK(B882:B882)+COUNTBLANK(D882:E882)+COUNTBLANK(G882:G882)+COUNTBLANK(O882:AJ882)&gt;0,"Faltan "&amp;(COUNTBLANK(B882:B882)+COUNTBLANK(D882:E882)+COUNTBLANK(G882:G882)+COUNTBLANK(O882:AJ882))&amp;" datos obligatorios",IF(NOT(ISNUMBER(B882)),"Fecha no válida",IF(N(B882)&gt;TODAY(),"Fecha futura",IF(IFERROR(VLOOKUP(E882,LISTAS!$A$2:$C$65,3,FALSE),"")&lt;&gt;D882,"La subregión no corresponde al municipio",IF(IF(L882="",FALSE,OR(L882&lt;0,L882&gt;110)),"Edad fuera de rango",IF((V882="Sí")+(W882="Sí")+(X882="Sí")+(Y882="Sí")=0,"Marque al menos un tipo de violencia","OK")))))))</f>
        <v/>
      </c>
    </row>
    <row r="883">
      <c r="A883" s="12">
        <f>IF(OR(F883="",F883="Revisar",C883=""),"",F883&amp;"-"&amp;C883&amp;"-"&amp;TEXT(COUNTIFS($F$2:F883,F883,$C$2:C883,C883),"0000"))</f>
        <v/>
      </c>
      <c r="B883" s="13" t="n"/>
      <c r="C883" s="12">
        <f>IF(ISNUMBER(B883),YEAR(B883),"")</f>
        <v/>
      </c>
      <c r="D883" s="14" t="n"/>
      <c r="E883" s="14" t="n"/>
      <c r="F883" s="12">
        <f>IF(E883="","",IFERROR(VLOOKUP(E883,LISTAS!$A$2:$C$65,2,FALSE),"Revisar"))</f>
        <v/>
      </c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  <c r="AA883" s="14" t="n"/>
      <c r="AB883" s="14" t="n"/>
      <c r="AC883" s="14" t="n"/>
      <c r="AD883" s="14" t="n"/>
      <c r="AE883" s="14" t="n"/>
      <c r="AF883" s="14" t="n"/>
      <c r="AG883" s="14" t="n"/>
      <c r="AH883" s="14" t="n"/>
      <c r="AI883" s="14" t="n"/>
      <c r="AJ883" s="14" t="n"/>
      <c r="AK883" s="12">
        <f>IF(COUNTA(B883:B883)+COUNTA(D883:E883)+COUNTA(G883:AJ883)=0,"",IF(COUNTBLANK(B883:B883)+COUNTBLANK(D883:E883)+COUNTBLANK(G883:G883)+COUNTBLANK(O883:AJ883)&gt;0,"Faltan "&amp;(COUNTBLANK(B883:B883)+COUNTBLANK(D883:E883)+COUNTBLANK(G883:G883)+COUNTBLANK(O883:AJ883))&amp;" datos obligatorios",IF(NOT(ISNUMBER(B883)),"Fecha no válida",IF(N(B883)&gt;TODAY(),"Fecha futura",IF(IFERROR(VLOOKUP(E883,LISTAS!$A$2:$C$65,3,FALSE),"")&lt;&gt;D883,"La subregión no corresponde al municipio",IF(IF(L883="",FALSE,OR(L883&lt;0,L883&gt;110)),"Edad fuera de rango",IF((V883="Sí")+(W883="Sí")+(X883="Sí")+(Y883="Sí")=0,"Marque al menos un tipo de violencia","OK")))))))</f>
        <v/>
      </c>
    </row>
    <row r="884">
      <c r="A884" s="12">
        <f>IF(OR(F884="",F884="Revisar",C884=""),"",F884&amp;"-"&amp;C884&amp;"-"&amp;TEXT(COUNTIFS($F$2:F884,F884,$C$2:C884,C884),"0000"))</f>
        <v/>
      </c>
      <c r="B884" s="13" t="n"/>
      <c r="C884" s="12">
        <f>IF(ISNUMBER(B884),YEAR(B884),"")</f>
        <v/>
      </c>
      <c r="D884" s="14" t="n"/>
      <c r="E884" s="14" t="n"/>
      <c r="F884" s="12">
        <f>IF(E884="","",IFERROR(VLOOKUP(E884,LISTAS!$A$2:$C$65,2,FALSE),"Revisar"))</f>
        <v/>
      </c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  <c r="AH884" s="14" t="n"/>
      <c r="AI884" s="14" t="n"/>
      <c r="AJ884" s="14" t="n"/>
      <c r="AK884" s="12">
        <f>IF(COUNTA(B884:B884)+COUNTA(D884:E884)+COUNTA(G884:AJ884)=0,"",IF(COUNTBLANK(B884:B884)+COUNTBLANK(D884:E884)+COUNTBLANK(G884:G884)+COUNTBLANK(O884:AJ884)&gt;0,"Faltan "&amp;(COUNTBLANK(B884:B884)+COUNTBLANK(D884:E884)+COUNTBLANK(G884:G884)+COUNTBLANK(O884:AJ884))&amp;" datos obligatorios",IF(NOT(ISNUMBER(B884)),"Fecha no válida",IF(N(B884)&gt;TODAY(),"Fecha futura",IF(IFERROR(VLOOKUP(E884,LISTAS!$A$2:$C$65,3,FALSE),"")&lt;&gt;D884,"La subregión no corresponde al municipio",IF(IF(L884="",FALSE,OR(L884&lt;0,L884&gt;110)),"Edad fuera de rango",IF((V884="Sí")+(W884="Sí")+(X884="Sí")+(Y884="Sí")=0,"Marque al menos un tipo de violencia","OK")))))))</f>
        <v/>
      </c>
    </row>
    <row r="885">
      <c r="A885" s="12">
        <f>IF(OR(F885="",F885="Revisar",C885=""),"",F885&amp;"-"&amp;C885&amp;"-"&amp;TEXT(COUNTIFS($F$2:F885,F885,$C$2:C885,C885),"0000"))</f>
        <v/>
      </c>
      <c r="B885" s="13" t="n"/>
      <c r="C885" s="12">
        <f>IF(ISNUMBER(B885),YEAR(B885),"")</f>
        <v/>
      </c>
      <c r="D885" s="14" t="n"/>
      <c r="E885" s="14" t="n"/>
      <c r="F885" s="12">
        <f>IF(E885="","",IFERROR(VLOOKUP(E885,LISTAS!$A$2:$C$65,2,FALSE),"Revisar"))</f>
        <v/>
      </c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  <c r="AI885" s="14" t="n"/>
      <c r="AJ885" s="14" t="n"/>
      <c r="AK885" s="12">
        <f>IF(COUNTA(B885:B885)+COUNTA(D885:E885)+COUNTA(G885:AJ885)=0,"",IF(COUNTBLANK(B885:B885)+COUNTBLANK(D885:E885)+COUNTBLANK(G885:G885)+COUNTBLANK(O885:AJ885)&gt;0,"Faltan "&amp;(COUNTBLANK(B885:B885)+COUNTBLANK(D885:E885)+COUNTBLANK(G885:G885)+COUNTBLANK(O885:AJ885))&amp;" datos obligatorios",IF(NOT(ISNUMBER(B885)),"Fecha no válida",IF(N(B885)&gt;TODAY(),"Fecha futura",IF(IFERROR(VLOOKUP(E885,LISTAS!$A$2:$C$65,3,FALSE),"")&lt;&gt;D885,"La subregión no corresponde al municipio",IF(IF(L885="",FALSE,OR(L885&lt;0,L885&gt;110)),"Edad fuera de rango",IF((V885="Sí")+(W885="Sí")+(X885="Sí")+(Y885="Sí")=0,"Marque al menos un tipo de violencia","OK")))))))</f>
        <v/>
      </c>
    </row>
    <row r="886">
      <c r="A886" s="12">
        <f>IF(OR(F886="",F886="Revisar",C886=""),"",F886&amp;"-"&amp;C886&amp;"-"&amp;TEXT(COUNTIFS($F$2:F886,F886,$C$2:C886,C886),"0000"))</f>
        <v/>
      </c>
      <c r="B886" s="13" t="n"/>
      <c r="C886" s="12">
        <f>IF(ISNUMBER(B886),YEAR(B886),"")</f>
        <v/>
      </c>
      <c r="D886" s="14" t="n"/>
      <c r="E886" s="14" t="n"/>
      <c r="F886" s="12">
        <f>IF(E886="","",IFERROR(VLOOKUP(E886,LISTAS!$A$2:$C$65,2,FALSE),"Revisar"))</f>
        <v/>
      </c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  <c r="AH886" s="14" t="n"/>
      <c r="AI886" s="14" t="n"/>
      <c r="AJ886" s="14" t="n"/>
      <c r="AK886" s="12">
        <f>IF(COUNTA(B886:B886)+COUNTA(D886:E886)+COUNTA(G886:AJ886)=0,"",IF(COUNTBLANK(B886:B886)+COUNTBLANK(D886:E886)+COUNTBLANK(G886:G886)+COUNTBLANK(O886:AJ886)&gt;0,"Faltan "&amp;(COUNTBLANK(B886:B886)+COUNTBLANK(D886:E886)+COUNTBLANK(G886:G886)+COUNTBLANK(O886:AJ886))&amp;" datos obligatorios",IF(NOT(ISNUMBER(B886)),"Fecha no válida",IF(N(B886)&gt;TODAY(),"Fecha futura",IF(IFERROR(VLOOKUP(E886,LISTAS!$A$2:$C$65,3,FALSE),"")&lt;&gt;D886,"La subregión no corresponde al municipio",IF(IF(L886="",FALSE,OR(L886&lt;0,L886&gt;110)),"Edad fuera de rango",IF((V886="Sí")+(W886="Sí")+(X886="Sí")+(Y886="Sí")=0,"Marque al menos un tipo de violencia","OK")))))))</f>
        <v/>
      </c>
    </row>
    <row r="887">
      <c r="A887" s="12">
        <f>IF(OR(F887="",F887="Revisar",C887=""),"",F887&amp;"-"&amp;C887&amp;"-"&amp;TEXT(COUNTIFS($F$2:F887,F887,$C$2:C887,C887),"0000"))</f>
        <v/>
      </c>
      <c r="B887" s="13" t="n"/>
      <c r="C887" s="12">
        <f>IF(ISNUMBER(B887),YEAR(B887),"")</f>
        <v/>
      </c>
      <c r="D887" s="14" t="n"/>
      <c r="E887" s="14" t="n"/>
      <c r="F887" s="12">
        <f>IF(E887="","",IFERROR(VLOOKUP(E887,LISTAS!$A$2:$C$65,2,FALSE),"Revisar"))</f>
        <v/>
      </c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  <c r="AA887" s="14" t="n"/>
      <c r="AB887" s="14" t="n"/>
      <c r="AC887" s="14" t="n"/>
      <c r="AD887" s="14" t="n"/>
      <c r="AE887" s="14" t="n"/>
      <c r="AF887" s="14" t="n"/>
      <c r="AG887" s="14" t="n"/>
      <c r="AH887" s="14" t="n"/>
      <c r="AI887" s="14" t="n"/>
      <c r="AJ887" s="14" t="n"/>
      <c r="AK887" s="12">
        <f>IF(COUNTA(B887:B887)+COUNTA(D887:E887)+COUNTA(G887:AJ887)=0,"",IF(COUNTBLANK(B887:B887)+COUNTBLANK(D887:E887)+COUNTBLANK(G887:G887)+COUNTBLANK(O887:AJ887)&gt;0,"Faltan "&amp;(COUNTBLANK(B887:B887)+COUNTBLANK(D887:E887)+COUNTBLANK(G887:G887)+COUNTBLANK(O887:AJ887))&amp;" datos obligatorios",IF(NOT(ISNUMBER(B887)),"Fecha no válida",IF(N(B887)&gt;TODAY(),"Fecha futura",IF(IFERROR(VLOOKUP(E887,LISTAS!$A$2:$C$65,3,FALSE),"")&lt;&gt;D887,"La subregión no corresponde al municipio",IF(IF(L887="",FALSE,OR(L887&lt;0,L887&gt;110)),"Edad fuera de rango",IF((V887="Sí")+(W887="Sí")+(X887="Sí")+(Y887="Sí")=0,"Marque al menos un tipo de violencia","OK")))))))</f>
        <v/>
      </c>
    </row>
    <row r="888">
      <c r="A888" s="12">
        <f>IF(OR(F888="",F888="Revisar",C888=""),"",F888&amp;"-"&amp;C888&amp;"-"&amp;TEXT(COUNTIFS($F$2:F888,F888,$C$2:C888,C888),"0000"))</f>
        <v/>
      </c>
      <c r="B888" s="13" t="n"/>
      <c r="C888" s="12">
        <f>IF(ISNUMBER(B888),YEAR(B888),"")</f>
        <v/>
      </c>
      <c r="D888" s="14" t="n"/>
      <c r="E888" s="14" t="n"/>
      <c r="F888" s="12">
        <f>IF(E888="","",IFERROR(VLOOKUP(E888,LISTAS!$A$2:$C$65,2,FALSE),"Revisar"))</f>
        <v/>
      </c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  <c r="AH888" s="14" t="n"/>
      <c r="AI888" s="14" t="n"/>
      <c r="AJ888" s="14" t="n"/>
      <c r="AK888" s="12">
        <f>IF(COUNTA(B888:B888)+COUNTA(D888:E888)+COUNTA(G888:AJ888)=0,"",IF(COUNTBLANK(B888:B888)+COUNTBLANK(D888:E888)+COUNTBLANK(G888:G888)+COUNTBLANK(O888:AJ888)&gt;0,"Faltan "&amp;(COUNTBLANK(B888:B888)+COUNTBLANK(D888:E888)+COUNTBLANK(G888:G888)+COUNTBLANK(O888:AJ888))&amp;" datos obligatorios",IF(NOT(ISNUMBER(B888)),"Fecha no válida",IF(N(B888)&gt;TODAY(),"Fecha futura",IF(IFERROR(VLOOKUP(E888,LISTAS!$A$2:$C$65,3,FALSE),"")&lt;&gt;D888,"La subregión no corresponde al municipio",IF(IF(L888="",FALSE,OR(L888&lt;0,L888&gt;110)),"Edad fuera de rango",IF((V888="Sí")+(W888="Sí")+(X888="Sí")+(Y888="Sí")=0,"Marque al menos un tipo de violencia","OK")))))))</f>
        <v/>
      </c>
    </row>
    <row r="889">
      <c r="A889" s="12">
        <f>IF(OR(F889="",F889="Revisar",C889=""),"",F889&amp;"-"&amp;C889&amp;"-"&amp;TEXT(COUNTIFS($F$2:F889,F889,$C$2:C889,C889),"0000"))</f>
        <v/>
      </c>
      <c r="B889" s="13" t="n"/>
      <c r="C889" s="12">
        <f>IF(ISNUMBER(B889),YEAR(B889),"")</f>
        <v/>
      </c>
      <c r="D889" s="14" t="n"/>
      <c r="E889" s="14" t="n"/>
      <c r="F889" s="12">
        <f>IF(E889="","",IFERROR(VLOOKUP(E889,LISTAS!$A$2:$C$65,2,FALSE),"Revisar"))</f>
        <v/>
      </c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  <c r="AA889" s="14" t="n"/>
      <c r="AB889" s="14" t="n"/>
      <c r="AC889" s="14" t="n"/>
      <c r="AD889" s="14" t="n"/>
      <c r="AE889" s="14" t="n"/>
      <c r="AF889" s="14" t="n"/>
      <c r="AG889" s="14" t="n"/>
      <c r="AH889" s="14" t="n"/>
      <c r="AI889" s="14" t="n"/>
      <c r="AJ889" s="14" t="n"/>
      <c r="AK889" s="12">
        <f>IF(COUNTA(B889:B889)+COUNTA(D889:E889)+COUNTA(G889:AJ889)=0,"",IF(COUNTBLANK(B889:B889)+COUNTBLANK(D889:E889)+COUNTBLANK(G889:G889)+COUNTBLANK(O889:AJ889)&gt;0,"Faltan "&amp;(COUNTBLANK(B889:B889)+COUNTBLANK(D889:E889)+COUNTBLANK(G889:G889)+COUNTBLANK(O889:AJ889))&amp;" datos obligatorios",IF(NOT(ISNUMBER(B889)),"Fecha no válida",IF(N(B889)&gt;TODAY(),"Fecha futura",IF(IFERROR(VLOOKUP(E889,LISTAS!$A$2:$C$65,3,FALSE),"")&lt;&gt;D889,"La subregión no corresponde al municipio",IF(IF(L889="",FALSE,OR(L889&lt;0,L889&gt;110)),"Edad fuera de rango",IF((V889="Sí")+(W889="Sí")+(X889="Sí")+(Y889="Sí")=0,"Marque al menos un tipo de violencia","OK")))))))</f>
        <v/>
      </c>
    </row>
    <row r="890">
      <c r="A890" s="12">
        <f>IF(OR(F890="",F890="Revisar",C890=""),"",F890&amp;"-"&amp;C890&amp;"-"&amp;TEXT(COUNTIFS($F$2:F890,F890,$C$2:C890,C890),"0000"))</f>
        <v/>
      </c>
      <c r="B890" s="13" t="n"/>
      <c r="C890" s="12">
        <f>IF(ISNUMBER(B890),YEAR(B890),"")</f>
        <v/>
      </c>
      <c r="D890" s="14" t="n"/>
      <c r="E890" s="14" t="n"/>
      <c r="F890" s="12">
        <f>IF(E890="","",IFERROR(VLOOKUP(E890,LISTAS!$A$2:$C$65,2,FALSE),"Revisar"))</f>
        <v/>
      </c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  <c r="AH890" s="14" t="n"/>
      <c r="AI890" s="14" t="n"/>
      <c r="AJ890" s="14" t="n"/>
      <c r="AK890" s="12">
        <f>IF(COUNTA(B890:B890)+COUNTA(D890:E890)+COUNTA(G890:AJ890)=0,"",IF(COUNTBLANK(B890:B890)+COUNTBLANK(D890:E890)+COUNTBLANK(G890:G890)+COUNTBLANK(O890:AJ890)&gt;0,"Faltan "&amp;(COUNTBLANK(B890:B890)+COUNTBLANK(D890:E890)+COUNTBLANK(G890:G890)+COUNTBLANK(O890:AJ890))&amp;" datos obligatorios",IF(NOT(ISNUMBER(B890)),"Fecha no válida",IF(N(B890)&gt;TODAY(),"Fecha futura",IF(IFERROR(VLOOKUP(E890,LISTAS!$A$2:$C$65,3,FALSE),"")&lt;&gt;D890,"La subregión no corresponde al municipio",IF(IF(L890="",FALSE,OR(L890&lt;0,L890&gt;110)),"Edad fuera de rango",IF((V890="Sí")+(W890="Sí")+(X890="Sí")+(Y890="Sí")=0,"Marque al menos un tipo de violencia","OK")))))))</f>
        <v/>
      </c>
    </row>
    <row r="891">
      <c r="A891" s="12">
        <f>IF(OR(F891="",F891="Revisar",C891=""),"",F891&amp;"-"&amp;C891&amp;"-"&amp;TEXT(COUNTIFS($F$2:F891,F891,$C$2:C891,C891),"0000"))</f>
        <v/>
      </c>
      <c r="B891" s="13" t="n"/>
      <c r="C891" s="12">
        <f>IF(ISNUMBER(B891),YEAR(B891),"")</f>
        <v/>
      </c>
      <c r="D891" s="14" t="n"/>
      <c r="E891" s="14" t="n"/>
      <c r="F891" s="12">
        <f>IF(E891="","",IFERROR(VLOOKUP(E891,LISTAS!$A$2:$C$65,2,FALSE),"Revisar"))</f>
        <v/>
      </c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  <c r="AA891" s="14" t="n"/>
      <c r="AB891" s="14" t="n"/>
      <c r="AC891" s="14" t="n"/>
      <c r="AD891" s="14" t="n"/>
      <c r="AE891" s="14" t="n"/>
      <c r="AF891" s="14" t="n"/>
      <c r="AG891" s="14" t="n"/>
      <c r="AH891" s="14" t="n"/>
      <c r="AI891" s="14" t="n"/>
      <c r="AJ891" s="14" t="n"/>
      <c r="AK891" s="12">
        <f>IF(COUNTA(B891:B891)+COUNTA(D891:E891)+COUNTA(G891:AJ891)=0,"",IF(COUNTBLANK(B891:B891)+COUNTBLANK(D891:E891)+COUNTBLANK(G891:G891)+COUNTBLANK(O891:AJ891)&gt;0,"Faltan "&amp;(COUNTBLANK(B891:B891)+COUNTBLANK(D891:E891)+COUNTBLANK(G891:G891)+COUNTBLANK(O891:AJ891))&amp;" datos obligatorios",IF(NOT(ISNUMBER(B891)),"Fecha no válida",IF(N(B891)&gt;TODAY(),"Fecha futura",IF(IFERROR(VLOOKUP(E891,LISTAS!$A$2:$C$65,3,FALSE),"")&lt;&gt;D891,"La subregión no corresponde al municipio",IF(IF(L891="",FALSE,OR(L891&lt;0,L891&gt;110)),"Edad fuera de rango",IF((V891="Sí")+(W891="Sí")+(X891="Sí")+(Y891="Sí")=0,"Marque al menos un tipo de violencia","OK")))))))</f>
        <v/>
      </c>
    </row>
    <row r="892">
      <c r="A892" s="12">
        <f>IF(OR(F892="",F892="Revisar",C892=""),"",F892&amp;"-"&amp;C892&amp;"-"&amp;TEXT(COUNTIFS($F$2:F892,F892,$C$2:C892,C892),"0000"))</f>
        <v/>
      </c>
      <c r="B892" s="13" t="n"/>
      <c r="C892" s="12">
        <f>IF(ISNUMBER(B892),YEAR(B892),"")</f>
        <v/>
      </c>
      <c r="D892" s="14" t="n"/>
      <c r="E892" s="14" t="n"/>
      <c r="F892" s="12">
        <f>IF(E892="","",IFERROR(VLOOKUP(E892,LISTAS!$A$2:$C$65,2,FALSE),"Revisar"))</f>
        <v/>
      </c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  <c r="AH892" s="14" t="n"/>
      <c r="AI892" s="14" t="n"/>
      <c r="AJ892" s="14" t="n"/>
      <c r="AK892" s="12">
        <f>IF(COUNTA(B892:B892)+COUNTA(D892:E892)+COUNTA(G892:AJ892)=0,"",IF(COUNTBLANK(B892:B892)+COUNTBLANK(D892:E892)+COUNTBLANK(G892:G892)+COUNTBLANK(O892:AJ892)&gt;0,"Faltan "&amp;(COUNTBLANK(B892:B892)+COUNTBLANK(D892:E892)+COUNTBLANK(G892:G892)+COUNTBLANK(O892:AJ892))&amp;" datos obligatorios",IF(NOT(ISNUMBER(B892)),"Fecha no válida",IF(N(B892)&gt;TODAY(),"Fecha futura",IF(IFERROR(VLOOKUP(E892,LISTAS!$A$2:$C$65,3,FALSE),"")&lt;&gt;D892,"La subregión no corresponde al municipio",IF(IF(L892="",FALSE,OR(L892&lt;0,L892&gt;110)),"Edad fuera de rango",IF((V892="Sí")+(W892="Sí")+(X892="Sí")+(Y892="Sí")=0,"Marque al menos un tipo de violencia","OK")))))))</f>
        <v/>
      </c>
    </row>
    <row r="893">
      <c r="A893" s="12">
        <f>IF(OR(F893="",F893="Revisar",C893=""),"",F893&amp;"-"&amp;C893&amp;"-"&amp;TEXT(COUNTIFS($F$2:F893,F893,$C$2:C893,C893),"0000"))</f>
        <v/>
      </c>
      <c r="B893" s="13" t="n"/>
      <c r="C893" s="12">
        <f>IF(ISNUMBER(B893),YEAR(B893),"")</f>
        <v/>
      </c>
      <c r="D893" s="14" t="n"/>
      <c r="E893" s="14" t="n"/>
      <c r="F893" s="12">
        <f>IF(E893="","",IFERROR(VLOOKUP(E893,LISTAS!$A$2:$C$65,2,FALSE),"Revisar"))</f>
        <v/>
      </c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  <c r="AI893" s="14" t="n"/>
      <c r="AJ893" s="14" t="n"/>
      <c r="AK893" s="12">
        <f>IF(COUNTA(B893:B893)+COUNTA(D893:E893)+COUNTA(G893:AJ893)=0,"",IF(COUNTBLANK(B893:B893)+COUNTBLANK(D893:E893)+COUNTBLANK(G893:G893)+COUNTBLANK(O893:AJ893)&gt;0,"Faltan "&amp;(COUNTBLANK(B893:B893)+COUNTBLANK(D893:E893)+COUNTBLANK(G893:G893)+COUNTBLANK(O893:AJ893))&amp;" datos obligatorios",IF(NOT(ISNUMBER(B893)),"Fecha no válida",IF(N(B893)&gt;TODAY(),"Fecha futura",IF(IFERROR(VLOOKUP(E893,LISTAS!$A$2:$C$65,3,FALSE),"")&lt;&gt;D893,"La subregión no corresponde al municipio",IF(IF(L893="",FALSE,OR(L893&lt;0,L893&gt;110)),"Edad fuera de rango",IF((V893="Sí")+(W893="Sí")+(X893="Sí")+(Y893="Sí")=0,"Marque al menos un tipo de violencia","OK")))))))</f>
        <v/>
      </c>
    </row>
    <row r="894">
      <c r="A894" s="12">
        <f>IF(OR(F894="",F894="Revisar",C894=""),"",F894&amp;"-"&amp;C894&amp;"-"&amp;TEXT(COUNTIFS($F$2:F894,F894,$C$2:C894,C894),"0000"))</f>
        <v/>
      </c>
      <c r="B894" s="13" t="n"/>
      <c r="C894" s="12">
        <f>IF(ISNUMBER(B894),YEAR(B894),"")</f>
        <v/>
      </c>
      <c r="D894" s="14" t="n"/>
      <c r="E894" s="14" t="n"/>
      <c r="F894" s="12">
        <f>IF(E894="","",IFERROR(VLOOKUP(E894,LISTAS!$A$2:$C$65,2,FALSE),"Revisar"))</f>
        <v/>
      </c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  <c r="AH894" s="14" t="n"/>
      <c r="AI894" s="14" t="n"/>
      <c r="AJ894" s="14" t="n"/>
      <c r="AK894" s="12">
        <f>IF(COUNTA(B894:B894)+COUNTA(D894:E894)+COUNTA(G894:AJ894)=0,"",IF(COUNTBLANK(B894:B894)+COUNTBLANK(D894:E894)+COUNTBLANK(G894:G894)+COUNTBLANK(O894:AJ894)&gt;0,"Faltan "&amp;(COUNTBLANK(B894:B894)+COUNTBLANK(D894:E894)+COUNTBLANK(G894:G894)+COUNTBLANK(O894:AJ894))&amp;" datos obligatorios",IF(NOT(ISNUMBER(B894)),"Fecha no válida",IF(N(B894)&gt;TODAY(),"Fecha futura",IF(IFERROR(VLOOKUP(E894,LISTAS!$A$2:$C$65,3,FALSE),"")&lt;&gt;D894,"La subregión no corresponde al municipio",IF(IF(L894="",FALSE,OR(L894&lt;0,L894&gt;110)),"Edad fuera de rango",IF((V894="Sí")+(W894="Sí")+(X894="Sí")+(Y894="Sí")=0,"Marque al menos un tipo de violencia","OK")))))))</f>
        <v/>
      </c>
    </row>
    <row r="895">
      <c r="A895" s="12">
        <f>IF(OR(F895="",F895="Revisar",C895=""),"",F895&amp;"-"&amp;C895&amp;"-"&amp;TEXT(COUNTIFS($F$2:F895,F895,$C$2:C895,C895),"0000"))</f>
        <v/>
      </c>
      <c r="B895" s="13" t="n"/>
      <c r="C895" s="12">
        <f>IF(ISNUMBER(B895),YEAR(B895),"")</f>
        <v/>
      </c>
      <c r="D895" s="14" t="n"/>
      <c r="E895" s="14" t="n"/>
      <c r="F895" s="12">
        <f>IF(E895="","",IFERROR(VLOOKUP(E895,LISTAS!$A$2:$C$65,2,FALSE),"Revisar"))</f>
        <v/>
      </c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  <c r="AA895" s="14" t="n"/>
      <c r="AB895" s="14" t="n"/>
      <c r="AC895" s="14" t="n"/>
      <c r="AD895" s="14" t="n"/>
      <c r="AE895" s="14" t="n"/>
      <c r="AF895" s="14" t="n"/>
      <c r="AG895" s="14" t="n"/>
      <c r="AH895" s="14" t="n"/>
      <c r="AI895" s="14" t="n"/>
      <c r="AJ895" s="14" t="n"/>
      <c r="AK895" s="12">
        <f>IF(COUNTA(B895:B895)+COUNTA(D895:E895)+COUNTA(G895:AJ895)=0,"",IF(COUNTBLANK(B895:B895)+COUNTBLANK(D895:E895)+COUNTBLANK(G895:G895)+COUNTBLANK(O895:AJ895)&gt;0,"Faltan "&amp;(COUNTBLANK(B895:B895)+COUNTBLANK(D895:E895)+COUNTBLANK(G895:G895)+COUNTBLANK(O895:AJ895))&amp;" datos obligatorios",IF(NOT(ISNUMBER(B895)),"Fecha no válida",IF(N(B895)&gt;TODAY(),"Fecha futura",IF(IFERROR(VLOOKUP(E895,LISTAS!$A$2:$C$65,3,FALSE),"")&lt;&gt;D895,"La subregión no corresponde al municipio",IF(IF(L895="",FALSE,OR(L895&lt;0,L895&gt;110)),"Edad fuera de rango",IF((V895="Sí")+(W895="Sí")+(X895="Sí")+(Y895="Sí")=0,"Marque al menos un tipo de violencia","OK")))))))</f>
        <v/>
      </c>
    </row>
    <row r="896">
      <c r="A896" s="12">
        <f>IF(OR(F896="",F896="Revisar",C896=""),"",F896&amp;"-"&amp;C896&amp;"-"&amp;TEXT(COUNTIFS($F$2:F896,F896,$C$2:C896,C896),"0000"))</f>
        <v/>
      </c>
      <c r="B896" s="13" t="n"/>
      <c r="C896" s="12">
        <f>IF(ISNUMBER(B896),YEAR(B896),"")</f>
        <v/>
      </c>
      <c r="D896" s="14" t="n"/>
      <c r="E896" s="14" t="n"/>
      <c r="F896" s="12">
        <f>IF(E896="","",IFERROR(VLOOKUP(E896,LISTAS!$A$2:$C$65,2,FALSE),"Revisar"))</f>
        <v/>
      </c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  <c r="AH896" s="14" t="n"/>
      <c r="AI896" s="14" t="n"/>
      <c r="AJ896" s="14" t="n"/>
      <c r="AK896" s="12">
        <f>IF(COUNTA(B896:B896)+COUNTA(D896:E896)+COUNTA(G896:AJ896)=0,"",IF(COUNTBLANK(B896:B896)+COUNTBLANK(D896:E896)+COUNTBLANK(G896:G896)+COUNTBLANK(O896:AJ896)&gt;0,"Faltan "&amp;(COUNTBLANK(B896:B896)+COUNTBLANK(D896:E896)+COUNTBLANK(G896:G896)+COUNTBLANK(O896:AJ896))&amp;" datos obligatorios",IF(NOT(ISNUMBER(B896)),"Fecha no válida",IF(N(B896)&gt;TODAY(),"Fecha futura",IF(IFERROR(VLOOKUP(E896,LISTAS!$A$2:$C$65,3,FALSE),"")&lt;&gt;D896,"La subregión no corresponde al municipio",IF(IF(L896="",FALSE,OR(L896&lt;0,L896&gt;110)),"Edad fuera de rango",IF((V896="Sí")+(W896="Sí")+(X896="Sí")+(Y896="Sí")=0,"Marque al menos un tipo de violencia","OK")))))))</f>
        <v/>
      </c>
    </row>
    <row r="897">
      <c r="A897" s="12">
        <f>IF(OR(F897="",F897="Revisar",C897=""),"",F897&amp;"-"&amp;C897&amp;"-"&amp;TEXT(COUNTIFS($F$2:F897,F897,$C$2:C897,C897),"0000"))</f>
        <v/>
      </c>
      <c r="B897" s="13" t="n"/>
      <c r="C897" s="12">
        <f>IF(ISNUMBER(B897),YEAR(B897),"")</f>
        <v/>
      </c>
      <c r="D897" s="14" t="n"/>
      <c r="E897" s="14" t="n"/>
      <c r="F897" s="12">
        <f>IF(E897="","",IFERROR(VLOOKUP(E897,LISTAS!$A$2:$C$65,2,FALSE),"Revisar"))</f>
        <v/>
      </c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  <c r="AA897" s="14" t="n"/>
      <c r="AB897" s="14" t="n"/>
      <c r="AC897" s="14" t="n"/>
      <c r="AD897" s="14" t="n"/>
      <c r="AE897" s="14" t="n"/>
      <c r="AF897" s="14" t="n"/>
      <c r="AG897" s="14" t="n"/>
      <c r="AH897" s="14" t="n"/>
      <c r="AI897" s="14" t="n"/>
      <c r="AJ897" s="14" t="n"/>
      <c r="AK897" s="12">
        <f>IF(COUNTA(B897:B897)+COUNTA(D897:E897)+COUNTA(G897:AJ897)=0,"",IF(COUNTBLANK(B897:B897)+COUNTBLANK(D897:E897)+COUNTBLANK(G897:G897)+COUNTBLANK(O897:AJ897)&gt;0,"Faltan "&amp;(COUNTBLANK(B897:B897)+COUNTBLANK(D897:E897)+COUNTBLANK(G897:G897)+COUNTBLANK(O897:AJ897))&amp;" datos obligatorios",IF(NOT(ISNUMBER(B897)),"Fecha no válida",IF(N(B897)&gt;TODAY(),"Fecha futura",IF(IFERROR(VLOOKUP(E897,LISTAS!$A$2:$C$65,3,FALSE),"")&lt;&gt;D897,"La subregión no corresponde al municipio",IF(IF(L897="",FALSE,OR(L897&lt;0,L897&gt;110)),"Edad fuera de rango",IF((V897="Sí")+(W897="Sí")+(X897="Sí")+(Y897="Sí")=0,"Marque al menos un tipo de violencia","OK")))))))</f>
        <v/>
      </c>
    </row>
    <row r="898">
      <c r="A898" s="12">
        <f>IF(OR(F898="",F898="Revisar",C898=""),"",F898&amp;"-"&amp;C898&amp;"-"&amp;TEXT(COUNTIFS($F$2:F898,F898,$C$2:C898,C898),"0000"))</f>
        <v/>
      </c>
      <c r="B898" s="13" t="n"/>
      <c r="C898" s="12">
        <f>IF(ISNUMBER(B898),YEAR(B898),"")</f>
        <v/>
      </c>
      <c r="D898" s="14" t="n"/>
      <c r="E898" s="14" t="n"/>
      <c r="F898" s="12">
        <f>IF(E898="","",IFERROR(VLOOKUP(E898,LISTAS!$A$2:$C$65,2,FALSE),"Revisar"))</f>
        <v/>
      </c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  <c r="AH898" s="14" t="n"/>
      <c r="AI898" s="14" t="n"/>
      <c r="AJ898" s="14" t="n"/>
      <c r="AK898" s="12">
        <f>IF(COUNTA(B898:B898)+COUNTA(D898:E898)+COUNTA(G898:AJ898)=0,"",IF(COUNTBLANK(B898:B898)+COUNTBLANK(D898:E898)+COUNTBLANK(G898:G898)+COUNTBLANK(O898:AJ898)&gt;0,"Faltan "&amp;(COUNTBLANK(B898:B898)+COUNTBLANK(D898:E898)+COUNTBLANK(G898:G898)+COUNTBLANK(O898:AJ898))&amp;" datos obligatorios",IF(NOT(ISNUMBER(B898)),"Fecha no válida",IF(N(B898)&gt;TODAY(),"Fecha futura",IF(IFERROR(VLOOKUP(E898,LISTAS!$A$2:$C$65,3,FALSE),"")&lt;&gt;D898,"La subregión no corresponde al municipio",IF(IF(L898="",FALSE,OR(L898&lt;0,L898&gt;110)),"Edad fuera de rango",IF((V898="Sí")+(W898="Sí")+(X898="Sí")+(Y898="Sí")=0,"Marque al menos un tipo de violencia","OK")))))))</f>
        <v/>
      </c>
    </row>
    <row r="899">
      <c r="A899" s="12">
        <f>IF(OR(F899="",F899="Revisar",C899=""),"",F899&amp;"-"&amp;C899&amp;"-"&amp;TEXT(COUNTIFS($F$2:F899,F899,$C$2:C899,C899),"0000"))</f>
        <v/>
      </c>
      <c r="B899" s="13" t="n"/>
      <c r="C899" s="12">
        <f>IF(ISNUMBER(B899),YEAR(B899),"")</f>
        <v/>
      </c>
      <c r="D899" s="14" t="n"/>
      <c r="E899" s="14" t="n"/>
      <c r="F899" s="12">
        <f>IF(E899="","",IFERROR(VLOOKUP(E899,LISTAS!$A$2:$C$65,2,FALSE),"Revisar"))</f>
        <v/>
      </c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/>
      <c r="AE899" s="14" t="n"/>
      <c r="AF899" s="14" t="n"/>
      <c r="AG899" s="14" t="n"/>
      <c r="AH899" s="14" t="n"/>
      <c r="AI899" s="14" t="n"/>
      <c r="AJ899" s="14" t="n"/>
      <c r="AK899" s="12">
        <f>IF(COUNTA(B899:B899)+COUNTA(D899:E899)+COUNTA(G899:AJ899)=0,"",IF(COUNTBLANK(B899:B899)+COUNTBLANK(D899:E899)+COUNTBLANK(G899:G899)+COUNTBLANK(O899:AJ899)&gt;0,"Faltan "&amp;(COUNTBLANK(B899:B899)+COUNTBLANK(D899:E899)+COUNTBLANK(G899:G899)+COUNTBLANK(O899:AJ899))&amp;" datos obligatorios",IF(NOT(ISNUMBER(B899)),"Fecha no válida",IF(N(B899)&gt;TODAY(),"Fecha futura",IF(IFERROR(VLOOKUP(E899,LISTAS!$A$2:$C$65,3,FALSE),"")&lt;&gt;D899,"La subregión no corresponde al municipio",IF(IF(L899="",FALSE,OR(L899&lt;0,L899&gt;110)),"Edad fuera de rango",IF((V899="Sí")+(W899="Sí")+(X899="Sí")+(Y899="Sí")=0,"Marque al menos un tipo de violencia","OK")))))))</f>
        <v/>
      </c>
    </row>
    <row r="900">
      <c r="A900" s="12">
        <f>IF(OR(F900="",F900="Revisar",C900=""),"",F900&amp;"-"&amp;C900&amp;"-"&amp;TEXT(COUNTIFS($F$2:F900,F900,$C$2:C900,C900),"0000"))</f>
        <v/>
      </c>
      <c r="B900" s="13" t="n"/>
      <c r="C900" s="12">
        <f>IF(ISNUMBER(B900),YEAR(B900),"")</f>
        <v/>
      </c>
      <c r="D900" s="14" t="n"/>
      <c r="E900" s="14" t="n"/>
      <c r="F900" s="12">
        <f>IF(E900="","",IFERROR(VLOOKUP(E900,LISTAS!$A$2:$C$65,2,FALSE),"Revisar"))</f>
        <v/>
      </c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  <c r="AH900" s="14" t="n"/>
      <c r="AI900" s="14" t="n"/>
      <c r="AJ900" s="14" t="n"/>
      <c r="AK900" s="12">
        <f>IF(COUNTA(B900:B900)+COUNTA(D900:E900)+COUNTA(G900:AJ900)=0,"",IF(COUNTBLANK(B900:B900)+COUNTBLANK(D900:E900)+COUNTBLANK(G900:G900)+COUNTBLANK(O900:AJ900)&gt;0,"Faltan "&amp;(COUNTBLANK(B900:B900)+COUNTBLANK(D900:E900)+COUNTBLANK(G900:G900)+COUNTBLANK(O900:AJ900))&amp;" datos obligatorios",IF(NOT(ISNUMBER(B900)),"Fecha no válida",IF(N(B900)&gt;TODAY(),"Fecha futura",IF(IFERROR(VLOOKUP(E900,LISTAS!$A$2:$C$65,3,FALSE),"")&lt;&gt;D900,"La subregión no corresponde al municipio",IF(IF(L900="",FALSE,OR(L900&lt;0,L900&gt;110)),"Edad fuera de rango",IF((V900="Sí")+(W900="Sí")+(X900="Sí")+(Y900="Sí")=0,"Marque al menos un tipo de violencia","OK")))))))</f>
        <v/>
      </c>
    </row>
    <row r="901">
      <c r="A901" s="12">
        <f>IF(OR(F901="",F901="Revisar",C901=""),"",F901&amp;"-"&amp;C901&amp;"-"&amp;TEXT(COUNTIFS($F$2:F901,F901,$C$2:C901,C901),"0000"))</f>
        <v/>
      </c>
      <c r="B901" s="13" t="n"/>
      <c r="C901" s="12">
        <f>IF(ISNUMBER(B901),YEAR(B901),"")</f>
        <v/>
      </c>
      <c r="D901" s="14" t="n"/>
      <c r="E901" s="14" t="n"/>
      <c r="F901" s="12">
        <f>IF(E901="","",IFERROR(VLOOKUP(E901,LISTAS!$A$2:$C$65,2,FALSE),"Revisar"))</f>
        <v/>
      </c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  <c r="AA901" s="14" t="n"/>
      <c r="AB901" s="14" t="n"/>
      <c r="AC901" s="14" t="n"/>
      <c r="AD901" s="14" t="n"/>
      <c r="AE901" s="14" t="n"/>
      <c r="AF901" s="14" t="n"/>
      <c r="AG901" s="14" t="n"/>
      <c r="AH901" s="14" t="n"/>
      <c r="AI901" s="14" t="n"/>
      <c r="AJ901" s="14" t="n"/>
      <c r="AK901" s="12">
        <f>IF(COUNTA(B901:B901)+COUNTA(D901:E901)+COUNTA(G901:AJ901)=0,"",IF(COUNTBLANK(B901:B901)+COUNTBLANK(D901:E901)+COUNTBLANK(G901:G901)+COUNTBLANK(O901:AJ901)&gt;0,"Faltan "&amp;(COUNTBLANK(B901:B901)+COUNTBLANK(D901:E901)+COUNTBLANK(G901:G901)+COUNTBLANK(O901:AJ901))&amp;" datos obligatorios",IF(NOT(ISNUMBER(B901)),"Fecha no válida",IF(N(B901)&gt;TODAY(),"Fecha futura",IF(IFERROR(VLOOKUP(E901,LISTAS!$A$2:$C$65,3,FALSE),"")&lt;&gt;D901,"La subregión no corresponde al municipio",IF(IF(L901="",FALSE,OR(L901&lt;0,L901&gt;110)),"Edad fuera de rango",IF((V901="Sí")+(W901="Sí")+(X901="Sí")+(Y901="Sí")=0,"Marque al menos un tipo de violencia","OK")))))))</f>
        <v/>
      </c>
    </row>
    <row r="902">
      <c r="A902" s="12">
        <f>IF(OR(F902="",F902="Revisar",C902=""),"",F902&amp;"-"&amp;C902&amp;"-"&amp;TEXT(COUNTIFS($F$2:F902,F902,$C$2:C902,C902),"0000"))</f>
        <v/>
      </c>
      <c r="B902" s="13" t="n"/>
      <c r="C902" s="12">
        <f>IF(ISNUMBER(B902),YEAR(B902),"")</f>
        <v/>
      </c>
      <c r="D902" s="14" t="n"/>
      <c r="E902" s="14" t="n"/>
      <c r="F902" s="12">
        <f>IF(E902="","",IFERROR(VLOOKUP(E902,LISTAS!$A$2:$C$65,2,FALSE),"Revisar"))</f>
        <v/>
      </c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  <c r="AH902" s="14" t="n"/>
      <c r="AI902" s="14" t="n"/>
      <c r="AJ902" s="14" t="n"/>
      <c r="AK902" s="12">
        <f>IF(COUNTA(B902:B902)+COUNTA(D902:E902)+COUNTA(G902:AJ902)=0,"",IF(COUNTBLANK(B902:B902)+COUNTBLANK(D902:E902)+COUNTBLANK(G902:G902)+COUNTBLANK(O902:AJ902)&gt;0,"Faltan "&amp;(COUNTBLANK(B902:B902)+COUNTBLANK(D902:E902)+COUNTBLANK(G902:G902)+COUNTBLANK(O902:AJ902))&amp;" datos obligatorios",IF(NOT(ISNUMBER(B902)),"Fecha no válida",IF(N(B902)&gt;TODAY(),"Fecha futura",IF(IFERROR(VLOOKUP(E902,LISTAS!$A$2:$C$65,3,FALSE),"")&lt;&gt;D902,"La subregión no corresponde al municipio",IF(IF(L902="",FALSE,OR(L902&lt;0,L902&gt;110)),"Edad fuera de rango",IF((V902="Sí")+(W902="Sí")+(X902="Sí")+(Y902="Sí")=0,"Marque al menos un tipo de violencia","OK")))))))</f>
        <v/>
      </c>
    </row>
    <row r="903">
      <c r="A903" s="12">
        <f>IF(OR(F903="",F903="Revisar",C903=""),"",F903&amp;"-"&amp;C903&amp;"-"&amp;TEXT(COUNTIFS($F$2:F903,F903,$C$2:C903,C903),"0000"))</f>
        <v/>
      </c>
      <c r="B903" s="13" t="n"/>
      <c r="C903" s="12">
        <f>IF(ISNUMBER(B903),YEAR(B903),"")</f>
        <v/>
      </c>
      <c r="D903" s="14" t="n"/>
      <c r="E903" s="14" t="n"/>
      <c r="F903" s="12">
        <f>IF(E903="","",IFERROR(VLOOKUP(E903,LISTAS!$A$2:$C$65,2,FALSE),"Revisar"))</f>
        <v/>
      </c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  <c r="AA903" s="14" t="n"/>
      <c r="AB903" s="14" t="n"/>
      <c r="AC903" s="14" t="n"/>
      <c r="AD903" s="14" t="n"/>
      <c r="AE903" s="14" t="n"/>
      <c r="AF903" s="14" t="n"/>
      <c r="AG903" s="14" t="n"/>
      <c r="AH903" s="14" t="n"/>
      <c r="AI903" s="14" t="n"/>
      <c r="AJ903" s="14" t="n"/>
      <c r="AK903" s="12">
        <f>IF(COUNTA(B903:B903)+COUNTA(D903:E903)+COUNTA(G903:AJ903)=0,"",IF(COUNTBLANK(B903:B903)+COUNTBLANK(D903:E903)+COUNTBLANK(G903:G903)+COUNTBLANK(O903:AJ903)&gt;0,"Faltan "&amp;(COUNTBLANK(B903:B903)+COUNTBLANK(D903:E903)+COUNTBLANK(G903:G903)+COUNTBLANK(O903:AJ903))&amp;" datos obligatorios",IF(NOT(ISNUMBER(B903)),"Fecha no válida",IF(N(B903)&gt;TODAY(),"Fecha futura",IF(IFERROR(VLOOKUP(E903,LISTAS!$A$2:$C$65,3,FALSE),"")&lt;&gt;D903,"La subregión no corresponde al municipio",IF(IF(L903="",FALSE,OR(L903&lt;0,L903&gt;110)),"Edad fuera de rango",IF((V903="Sí")+(W903="Sí")+(X903="Sí")+(Y903="Sí")=0,"Marque al menos un tipo de violencia","OK")))))))</f>
        <v/>
      </c>
    </row>
    <row r="904">
      <c r="A904" s="12">
        <f>IF(OR(F904="",F904="Revisar",C904=""),"",F904&amp;"-"&amp;C904&amp;"-"&amp;TEXT(COUNTIFS($F$2:F904,F904,$C$2:C904,C904),"0000"))</f>
        <v/>
      </c>
      <c r="B904" s="13" t="n"/>
      <c r="C904" s="12">
        <f>IF(ISNUMBER(B904),YEAR(B904),"")</f>
        <v/>
      </c>
      <c r="D904" s="14" t="n"/>
      <c r="E904" s="14" t="n"/>
      <c r="F904" s="12">
        <f>IF(E904="","",IFERROR(VLOOKUP(E904,LISTAS!$A$2:$C$65,2,FALSE),"Revisar"))</f>
        <v/>
      </c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  <c r="AH904" s="14" t="n"/>
      <c r="AI904" s="14" t="n"/>
      <c r="AJ904" s="14" t="n"/>
      <c r="AK904" s="12">
        <f>IF(COUNTA(B904:B904)+COUNTA(D904:E904)+COUNTA(G904:AJ904)=0,"",IF(COUNTBLANK(B904:B904)+COUNTBLANK(D904:E904)+COUNTBLANK(G904:G904)+COUNTBLANK(O904:AJ904)&gt;0,"Faltan "&amp;(COUNTBLANK(B904:B904)+COUNTBLANK(D904:E904)+COUNTBLANK(G904:G904)+COUNTBLANK(O904:AJ904))&amp;" datos obligatorios",IF(NOT(ISNUMBER(B904)),"Fecha no válida",IF(N(B904)&gt;TODAY(),"Fecha futura",IF(IFERROR(VLOOKUP(E904,LISTAS!$A$2:$C$65,3,FALSE),"")&lt;&gt;D904,"La subregión no corresponde al municipio",IF(IF(L904="",FALSE,OR(L904&lt;0,L904&gt;110)),"Edad fuera de rango",IF((V904="Sí")+(W904="Sí")+(X904="Sí")+(Y904="Sí")=0,"Marque al menos un tipo de violencia","OK")))))))</f>
        <v/>
      </c>
    </row>
    <row r="905">
      <c r="A905" s="12">
        <f>IF(OR(F905="",F905="Revisar",C905=""),"",F905&amp;"-"&amp;C905&amp;"-"&amp;TEXT(COUNTIFS($F$2:F905,F905,$C$2:C905,C905),"0000"))</f>
        <v/>
      </c>
      <c r="B905" s="13" t="n"/>
      <c r="C905" s="12">
        <f>IF(ISNUMBER(B905),YEAR(B905),"")</f>
        <v/>
      </c>
      <c r="D905" s="14" t="n"/>
      <c r="E905" s="14" t="n"/>
      <c r="F905" s="12">
        <f>IF(E905="","",IFERROR(VLOOKUP(E905,LISTAS!$A$2:$C$65,2,FALSE),"Revisar"))</f>
        <v/>
      </c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  <c r="AA905" s="14" t="n"/>
      <c r="AB905" s="14" t="n"/>
      <c r="AC905" s="14" t="n"/>
      <c r="AD905" s="14" t="n"/>
      <c r="AE905" s="14" t="n"/>
      <c r="AF905" s="14" t="n"/>
      <c r="AG905" s="14" t="n"/>
      <c r="AH905" s="14" t="n"/>
      <c r="AI905" s="14" t="n"/>
      <c r="AJ905" s="14" t="n"/>
      <c r="AK905" s="12">
        <f>IF(COUNTA(B905:B905)+COUNTA(D905:E905)+COUNTA(G905:AJ905)=0,"",IF(COUNTBLANK(B905:B905)+COUNTBLANK(D905:E905)+COUNTBLANK(G905:G905)+COUNTBLANK(O905:AJ905)&gt;0,"Faltan "&amp;(COUNTBLANK(B905:B905)+COUNTBLANK(D905:E905)+COUNTBLANK(G905:G905)+COUNTBLANK(O905:AJ905))&amp;" datos obligatorios",IF(NOT(ISNUMBER(B905)),"Fecha no válida",IF(N(B905)&gt;TODAY(),"Fecha futura",IF(IFERROR(VLOOKUP(E905,LISTAS!$A$2:$C$65,3,FALSE),"")&lt;&gt;D905,"La subregión no corresponde al municipio",IF(IF(L905="",FALSE,OR(L905&lt;0,L905&gt;110)),"Edad fuera de rango",IF((V905="Sí")+(W905="Sí")+(X905="Sí")+(Y905="Sí")=0,"Marque al menos un tipo de violencia","OK")))))))</f>
        <v/>
      </c>
    </row>
    <row r="906">
      <c r="A906" s="12">
        <f>IF(OR(F906="",F906="Revisar",C906=""),"",F906&amp;"-"&amp;C906&amp;"-"&amp;TEXT(COUNTIFS($F$2:F906,F906,$C$2:C906,C906),"0000"))</f>
        <v/>
      </c>
      <c r="B906" s="13" t="n"/>
      <c r="C906" s="12">
        <f>IF(ISNUMBER(B906),YEAR(B906),"")</f>
        <v/>
      </c>
      <c r="D906" s="14" t="n"/>
      <c r="E906" s="14" t="n"/>
      <c r="F906" s="12">
        <f>IF(E906="","",IFERROR(VLOOKUP(E906,LISTAS!$A$2:$C$65,2,FALSE),"Revisar"))</f>
        <v/>
      </c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  <c r="AH906" s="14" t="n"/>
      <c r="AI906" s="14" t="n"/>
      <c r="AJ906" s="14" t="n"/>
      <c r="AK906" s="12">
        <f>IF(COUNTA(B906:B906)+COUNTA(D906:E906)+COUNTA(G906:AJ906)=0,"",IF(COUNTBLANK(B906:B906)+COUNTBLANK(D906:E906)+COUNTBLANK(G906:G906)+COUNTBLANK(O906:AJ906)&gt;0,"Faltan "&amp;(COUNTBLANK(B906:B906)+COUNTBLANK(D906:E906)+COUNTBLANK(G906:G906)+COUNTBLANK(O906:AJ906))&amp;" datos obligatorios",IF(NOT(ISNUMBER(B906)),"Fecha no válida",IF(N(B906)&gt;TODAY(),"Fecha futura",IF(IFERROR(VLOOKUP(E906,LISTAS!$A$2:$C$65,3,FALSE),"")&lt;&gt;D906,"La subregión no corresponde al municipio",IF(IF(L906="",FALSE,OR(L906&lt;0,L906&gt;110)),"Edad fuera de rango",IF((V906="Sí")+(W906="Sí")+(X906="Sí")+(Y906="Sí")=0,"Marque al menos un tipo de violencia","OK")))))))</f>
        <v/>
      </c>
    </row>
    <row r="907">
      <c r="A907" s="12">
        <f>IF(OR(F907="",F907="Revisar",C907=""),"",F907&amp;"-"&amp;C907&amp;"-"&amp;TEXT(COUNTIFS($F$2:F907,F907,$C$2:C907,C907),"0000"))</f>
        <v/>
      </c>
      <c r="B907" s="13" t="n"/>
      <c r="C907" s="12">
        <f>IF(ISNUMBER(B907),YEAR(B907),"")</f>
        <v/>
      </c>
      <c r="D907" s="14" t="n"/>
      <c r="E907" s="14" t="n"/>
      <c r="F907" s="12">
        <f>IF(E907="","",IFERROR(VLOOKUP(E907,LISTAS!$A$2:$C$65,2,FALSE),"Revisar"))</f>
        <v/>
      </c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/>
      <c r="AI907" s="14" t="n"/>
      <c r="AJ907" s="14" t="n"/>
      <c r="AK907" s="12">
        <f>IF(COUNTA(B907:B907)+COUNTA(D907:E907)+COUNTA(G907:AJ907)=0,"",IF(COUNTBLANK(B907:B907)+COUNTBLANK(D907:E907)+COUNTBLANK(G907:G907)+COUNTBLANK(O907:AJ907)&gt;0,"Faltan "&amp;(COUNTBLANK(B907:B907)+COUNTBLANK(D907:E907)+COUNTBLANK(G907:G907)+COUNTBLANK(O907:AJ907))&amp;" datos obligatorios",IF(NOT(ISNUMBER(B907)),"Fecha no válida",IF(N(B907)&gt;TODAY(),"Fecha futura",IF(IFERROR(VLOOKUP(E907,LISTAS!$A$2:$C$65,3,FALSE),"")&lt;&gt;D907,"La subregión no corresponde al municipio",IF(IF(L907="",FALSE,OR(L907&lt;0,L907&gt;110)),"Edad fuera de rango",IF((V907="Sí")+(W907="Sí")+(X907="Sí")+(Y907="Sí")=0,"Marque al menos un tipo de violencia","OK")))))))</f>
        <v/>
      </c>
    </row>
    <row r="908">
      <c r="A908" s="12">
        <f>IF(OR(F908="",F908="Revisar",C908=""),"",F908&amp;"-"&amp;C908&amp;"-"&amp;TEXT(COUNTIFS($F$2:F908,F908,$C$2:C908,C908),"0000"))</f>
        <v/>
      </c>
      <c r="B908" s="13" t="n"/>
      <c r="C908" s="12">
        <f>IF(ISNUMBER(B908),YEAR(B908),"")</f>
        <v/>
      </c>
      <c r="D908" s="14" t="n"/>
      <c r="E908" s="14" t="n"/>
      <c r="F908" s="12">
        <f>IF(E908="","",IFERROR(VLOOKUP(E908,LISTAS!$A$2:$C$65,2,FALSE),"Revisar"))</f>
        <v/>
      </c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  <c r="AH908" s="14" t="n"/>
      <c r="AI908" s="14" t="n"/>
      <c r="AJ908" s="14" t="n"/>
      <c r="AK908" s="12">
        <f>IF(COUNTA(B908:B908)+COUNTA(D908:E908)+COUNTA(G908:AJ908)=0,"",IF(COUNTBLANK(B908:B908)+COUNTBLANK(D908:E908)+COUNTBLANK(G908:G908)+COUNTBLANK(O908:AJ908)&gt;0,"Faltan "&amp;(COUNTBLANK(B908:B908)+COUNTBLANK(D908:E908)+COUNTBLANK(G908:G908)+COUNTBLANK(O908:AJ908))&amp;" datos obligatorios",IF(NOT(ISNUMBER(B908)),"Fecha no válida",IF(N(B908)&gt;TODAY(),"Fecha futura",IF(IFERROR(VLOOKUP(E908,LISTAS!$A$2:$C$65,3,FALSE),"")&lt;&gt;D908,"La subregión no corresponde al municipio",IF(IF(L908="",FALSE,OR(L908&lt;0,L908&gt;110)),"Edad fuera de rango",IF((V908="Sí")+(W908="Sí")+(X908="Sí")+(Y908="Sí")=0,"Marque al menos un tipo de violencia","OK")))))))</f>
        <v/>
      </c>
    </row>
    <row r="909">
      <c r="A909" s="12">
        <f>IF(OR(F909="",F909="Revisar",C909=""),"",F909&amp;"-"&amp;C909&amp;"-"&amp;TEXT(COUNTIFS($F$2:F909,F909,$C$2:C909,C909),"0000"))</f>
        <v/>
      </c>
      <c r="B909" s="13" t="n"/>
      <c r="C909" s="12">
        <f>IF(ISNUMBER(B909),YEAR(B909),"")</f>
        <v/>
      </c>
      <c r="D909" s="14" t="n"/>
      <c r="E909" s="14" t="n"/>
      <c r="F909" s="12">
        <f>IF(E909="","",IFERROR(VLOOKUP(E909,LISTAS!$A$2:$C$65,2,FALSE),"Revisar"))</f>
        <v/>
      </c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  <c r="AA909" s="14" t="n"/>
      <c r="AB909" s="14" t="n"/>
      <c r="AC909" s="14" t="n"/>
      <c r="AD909" s="14" t="n"/>
      <c r="AE909" s="14" t="n"/>
      <c r="AF909" s="14" t="n"/>
      <c r="AG909" s="14" t="n"/>
      <c r="AH909" s="14" t="n"/>
      <c r="AI909" s="14" t="n"/>
      <c r="AJ909" s="14" t="n"/>
      <c r="AK909" s="12">
        <f>IF(COUNTA(B909:B909)+COUNTA(D909:E909)+COUNTA(G909:AJ909)=0,"",IF(COUNTBLANK(B909:B909)+COUNTBLANK(D909:E909)+COUNTBLANK(G909:G909)+COUNTBLANK(O909:AJ909)&gt;0,"Faltan "&amp;(COUNTBLANK(B909:B909)+COUNTBLANK(D909:E909)+COUNTBLANK(G909:G909)+COUNTBLANK(O909:AJ909))&amp;" datos obligatorios",IF(NOT(ISNUMBER(B909)),"Fecha no válida",IF(N(B909)&gt;TODAY(),"Fecha futura",IF(IFERROR(VLOOKUP(E909,LISTAS!$A$2:$C$65,3,FALSE),"")&lt;&gt;D909,"La subregión no corresponde al municipio",IF(IF(L909="",FALSE,OR(L909&lt;0,L909&gt;110)),"Edad fuera de rango",IF((V909="Sí")+(W909="Sí")+(X909="Sí")+(Y909="Sí")=0,"Marque al menos un tipo de violencia","OK")))))))</f>
        <v/>
      </c>
    </row>
    <row r="910">
      <c r="A910" s="12">
        <f>IF(OR(F910="",F910="Revisar",C910=""),"",F910&amp;"-"&amp;C910&amp;"-"&amp;TEXT(COUNTIFS($F$2:F910,F910,$C$2:C910,C910),"0000"))</f>
        <v/>
      </c>
      <c r="B910" s="13" t="n"/>
      <c r="C910" s="12">
        <f>IF(ISNUMBER(B910),YEAR(B910),"")</f>
        <v/>
      </c>
      <c r="D910" s="14" t="n"/>
      <c r="E910" s="14" t="n"/>
      <c r="F910" s="12">
        <f>IF(E910="","",IFERROR(VLOOKUP(E910,LISTAS!$A$2:$C$65,2,FALSE),"Revisar"))</f>
        <v/>
      </c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  <c r="AH910" s="14" t="n"/>
      <c r="AI910" s="14" t="n"/>
      <c r="AJ910" s="14" t="n"/>
      <c r="AK910" s="12">
        <f>IF(COUNTA(B910:B910)+COUNTA(D910:E910)+COUNTA(G910:AJ910)=0,"",IF(COUNTBLANK(B910:B910)+COUNTBLANK(D910:E910)+COUNTBLANK(G910:G910)+COUNTBLANK(O910:AJ910)&gt;0,"Faltan "&amp;(COUNTBLANK(B910:B910)+COUNTBLANK(D910:E910)+COUNTBLANK(G910:G910)+COUNTBLANK(O910:AJ910))&amp;" datos obligatorios",IF(NOT(ISNUMBER(B910)),"Fecha no válida",IF(N(B910)&gt;TODAY(),"Fecha futura",IF(IFERROR(VLOOKUP(E910,LISTAS!$A$2:$C$65,3,FALSE),"")&lt;&gt;D910,"La subregión no corresponde al municipio",IF(IF(L910="",FALSE,OR(L910&lt;0,L910&gt;110)),"Edad fuera de rango",IF((V910="Sí")+(W910="Sí")+(X910="Sí")+(Y910="Sí")=0,"Marque al menos un tipo de violencia","OK")))))))</f>
        <v/>
      </c>
    </row>
    <row r="911">
      <c r="A911" s="12">
        <f>IF(OR(F911="",F911="Revisar",C911=""),"",F911&amp;"-"&amp;C911&amp;"-"&amp;TEXT(COUNTIFS($F$2:F911,F911,$C$2:C911,C911),"0000"))</f>
        <v/>
      </c>
      <c r="B911" s="13" t="n"/>
      <c r="C911" s="12">
        <f>IF(ISNUMBER(B911),YEAR(B911),"")</f>
        <v/>
      </c>
      <c r="D911" s="14" t="n"/>
      <c r="E911" s="14" t="n"/>
      <c r="F911" s="12">
        <f>IF(E911="","",IFERROR(VLOOKUP(E911,LISTAS!$A$2:$C$65,2,FALSE),"Revisar"))</f>
        <v/>
      </c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  <c r="AI911" s="14" t="n"/>
      <c r="AJ911" s="14" t="n"/>
      <c r="AK911" s="12">
        <f>IF(COUNTA(B911:B911)+COUNTA(D911:E911)+COUNTA(G911:AJ911)=0,"",IF(COUNTBLANK(B911:B911)+COUNTBLANK(D911:E911)+COUNTBLANK(G911:G911)+COUNTBLANK(O911:AJ911)&gt;0,"Faltan "&amp;(COUNTBLANK(B911:B911)+COUNTBLANK(D911:E911)+COUNTBLANK(G911:G911)+COUNTBLANK(O911:AJ911))&amp;" datos obligatorios",IF(NOT(ISNUMBER(B911)),"Fecha no válida",IF(N(B911)&gt;TODAY(),"Fecha futura",IF(IFERROR(VLOOKUP(E911,LISTAS!$A$2:$C$65,3,FALSE),"")&lt;&gt;D911,"La subregión no corresponde al municipio",IF(IF(L911="",FALSE,OR(L911&lt;0,L911&gt;110)),"Edad fuera de rango",IF((V911="Sí")+(W911="Sí")+(X911="Sí")+(Y911="Sí")=0,"Marque al menos un tipo de violencia","OK")))))))</f>
        <v/>
      </c>
    </row>
    <row r="912">
      <c r="A912" s="12">
        <f>IF(OR(F912="",F912="Revisar",C912=""),"",F912&amp;"-"&amp;C912&amp;"-"&amp;TEXT(COUNTIFS($F$2:F912,F912,$C$2:C912,C912),"0000"))</f>
        <v/>
      </c>
      <c r="B912" s="13" t="n"/>
      <c r="C912" s="12">
        <f>IF(ISNUMBER(B912),YEAR(B912),"")</f>
        <v/>
      </c>
      <c r="D912" s="14" t="n"/>
      <c r="E912" s="14" t="n"/>
      <c r="F912" s="12">
        <f>IF(E912="","",IFERROR(VLOOKUP(E912,LISTAS!$A$2:$C$65,2,FALSE),"Revisar"))</f>
        <v/>
      </c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  <c r="AH912" s="14" t="n"/>
      <c r="AI912" s="14" t="n"/>
      <c r="AJ912" s="14" t="n"/>
      <c r="AK912" s="12">
        <f>IF(COUNTA(B912:B912)+COUNTA(D912:E912)+COUNTA(G912:AJ912)=0,"",IF(COUNTBLANK(B912:B912)+COUNTBLANK(D912:E912)+COUNTBLANK(G912:G912)+COUNTBLANK(O912:AJ912)&gt;0,"Faltan "&amp;(COUNTBLANK(B912:B912)+COUNTBLANK(D912:E912)+COUNTBLANK(G912:G912)+COUNTBLANK(O912:AJ912))&amp;" datos obligatorios",IF(NOT(ISNUMBER(B912)),"Fecha no válida",IF(N(B912)&gt;TODAY(),"Fecha futura",IF(IFERROR(VLOOKUP(E912,LISTAS!$A$2:$C$65,3,FALSE),"")&lt;&gt;D912,"La subregión no corresponde al municipio",IF(IF(L912="",FALSE,OR(L912&lt;0,L912&gt;110)),"Edad fuera de rango",IF((V912="Sí")+(W912="Sí")+(X912="Sí")+(Y912="Sí")=0,"Marque al menos un tipo de violencia","OK")))))))</f>
        <v/>
      </c>
    </row>
    <row r="913">
      <c r="A913" s="12">
        <f>IF(OR(F913="",F913="Revisar",C913=""),"",F913&amp;"-"&amp;C913&amp;"-"&amp;TEXT(COUNTIFS($F$2:F913,F913,$C$2:C913,C913),"0000"))</f>
        <v/>
      </c>
      <c r="B913" s="13" t="n"/>
      <c r="C913" s="12">
        <f>IF(ISNUMBER(B913),YEAR(B913),"")</f>
        <v/>
      </c>
      <c r="D913" s="14" t="n"/>
      <c r="E913" s="14" t="n"/>
      <c r="F913" s="12">
        <f>IF(E913="","",IFERROR(VLOOKUP(E913,LISTAS!$A$2:$C$65,2,FALSE),"Revisar"))</f>
        <v/>
      </c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  <c r="AI913" s="14" t="n"/>
      <c r="AJ913" s="14" t="n"/>
      <c r="AK913" s="12">
        <f>IF(COUNTA(B913:B913)+COUNTA(D913:E913)+COUNTA(G913:AJ913)=0,"",IF(COUNTBLANK(B913:B913)+COUNTBLANK(D913:E913)+COUNTBLANK(G913:G913)+COUNTBLANK(O913:AJ913)&gt;0,"Faltan "&amp;(COUNTBLANK(B913:B913)+COUNTBLANK(D913:E913)+COUNTBLANK(G913:G913)+COUNTBLANK(O913:AJ913))&amp;" datos obligatorios",IF(NOT(ISNUMBER(B913)),"Fecha no válida",IF(N(B913)&gt;TODAY(),"Fecha futura",IF(IFERROR(VLOOKUP(E913,LISTAS!$A$2:$C$65,3,FALSE),"")&lt;&gt;D913,"La subregión no corresponde al municipio",IF(IF(L913="",FALSE,OR(L913&lt;0,L913&gt;110)),"Edad fuera de rango",IF((V913="Sí")+(W913="Sí")+(X913="Sí")+(Y913="Sí")=0,"Marque al menos un tipo de violencia","OK")))))))</f>
        <v/>
      </c>
    </row>
    <row r="914">
      <c r="A914" s="12">
        <f>IF(OR(F914="",F914="Revisar",C914=""),"",F914&amp;"-"&amp;C914&amp;"-"&amp;TEXT(COUNTIFS($F$2:F914,F914,$C$2:C914,C914),"0000"))</f>
        <v/>
      </c>
      <c r="B914" s="13" t="n"/>
      <c r="C914" s="12">
        <f>IF(ISNUMBER(B914),YEAR(B914),"")</f>
        <v/>
      </c>
      <c r="D914" s="14" t="n"/>
      <c r="E914" s="14" t="n"/>
      <c r="F914" s="12">
        <f>IF(E914="","",IFERROR(VLOOKUP(E914,LISTAS!$A$2:$C$65,2,FALSE),"Revisar"))</f>
        <v/>
      </c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  <c r="AH914" s="14" t="n"/>
      <c r="AI914" s="14" t="n"/>
      <c r="AJ914" s="14" t="n"/>
      <c r="AK914" s="12">
        <f>IF(COUNTA(B914:B914)+COUNTA(D914:E914)+COUNTA(G914:AJ914)=0,"",IF(COUNTBLANK(B914:B914)+COUNTBLANK(D914:E914)+COUNTBLANK(G914:G914)+COUNTBLANK(O914:AJ914)&gt;0,"Faltan "&amp;(COUNTBLANK(B914:B914)+COUNTBLANK(D914:E914)+COUNTBLANK(G914:G914)+COUNTBLANK(O914:AJ914))&amp;" datos obligatorios",IF(NOT(ISNUMBER(B914)),"Fecha no válida",IF(N(B914)&gt;TODAY(),"Fecha futura",IF(IFERROR(VLOOKUP(E914,LISTAS!$A$2:$C$65,3,FALSE),"")&lt;&gt;D914,"La subregión no corresponde al municipio",IF(IF(L914="",FALSE,OR(L914&lt;0,L914&gt;110)),"Edad fuera de rango",IF((V914="Sí")+(W914="Sí")+(X914="Sí")+(Y914="Sí")=0,"Marque al menos un tipo de violencia","OK")))))))</f>
        <v/>
      </c>
    </row>
    <row r="915">
      <c r="A915" s="12">
        <f>IF(OR(F915="",F915="Revisar",C915=""),"",F915&amp;"-"&amp;C915&amp;"-"&amp;TEXT(COUNTIFS($F$2:F915,F915,$C$2:C915,C915),"0000"))</f>
        <v/>
      </c>
      <c r="B915" s="13" t="n"/>
      <c r="C915" s="12">
        <f>IF(ISNUMBER(B915),YEAR(B915),"")</f>
        <v/>
      </c>
      <c r="D915" s="14" t="n"/>
      <c r="E915" s="14" t="n"/>
      <c r="F915" s="12">
        <f>IF(E915="","",IFERROR(VLOOKUP(E915,LISTAS!$A$2:$C$65,2,FALSE),"Revisar"))</f>
        <v/>
      </c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/>
      <c r="AH915" s="14" t="n"/>
      <c r="AI915" s="14" t="n"/>
      <c r="AJ915" s="14" t="n"/>
      <c r="AK915" s="12">
        <f>IF(COUNTA(B915:B915)+COUNTA(D915:E915)+COUNTA(G915:AJ915)=0,"",IF(COUNTBLANK(B915:B915)+COUNTBLANK(D915:E915)+COUNTBLANK(G915:G915)+COUNTBLANK(O915:AJ915)&gt;0,"Faltan "&amp;(COUNTBLANK(B915:B915)+COUNTBLANK(D915:E915)+COUNTBLANK(G915:G915)+COUNTBLANK(O915:AJ915))&amp;" datos obligatorios",IF(NOT(ISNUMBER(B915)),"Fecha no válida",IF(N(B915)&gt;TODAY(),"Fecha futura",IF(IFERROR(VLOOKUP(E915,LISTAS!$A$2:$C$65,3,FALSE),"")&lt;&gt;D915,"La subregión no corresponde al municipio",IF(IF(L915="",FALSE,OR(L915&lt;0,L915&gt;110)),"Edad fuera de rango",IF((V915="Sí")+(W915="Sí")+(X915="Sí")+(Y915="Sí")=0,"Marque al menos un tipo de violencia","OK")))))))</f>
        <v/>
      </c>
    </row>
    <row r="916">
      <c r="A916" s="12">
        <f>IF(OR(F916="",F916="Revisar",C916=""),"",F916&amp;"-"&amp;C916&amp;"-"&amp;TEXT(COUNTIFS($F$2:F916,F916,$C$2:C916,C916),"0000"))</f>
        <v/>
      </c>
      <c r="B916" s="13" t="n"/>
      <c r="C916" s="12">
        <f>IF(ISNUMBER(B916),YEAR(B916),"")</f>
        <v/>
      </c>
      <c r="D916" s="14" t="n"/>
      <c r="E916" s="14" t="n"/>
      <c r="F916" s="12">
        <f>IF(E916="","",IFERROR(VLOOKUP(E916,LISTAS!$A$2:$C$65,2,FALSE),"Revisar"))</f>
        <v/>
      </c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  <c r="AH916" s="14" t="n"/>
      <c r="AI916" s="14" t="n"/>
      <c r="AJ916" s="14" t="n"/>
      <c r="AK916" s="12">
        <f>IF(COUNTA(B916:B916)+COUNTA(D916:E916)+COUNTA(G916:AJ916)=0,"",IF(COUNTBLANK(B916:B916)+COUNTBLANK(D916:E916)+COUNTBLANK(G916:G916)+COUNTBLANK(O916:AJ916)&gt;0,"Faltan "&amp;(COUNTBLANK(B916:B916)+COUNTBLANK(D916:E916)+COUNTBLANK(G916:G916)+COUNTBLANK(O916:AJ916))&amp;" datos obligatorios",IF(NOT(ISNUMBER(B916)),"Fecha no válida",IF(N(B916)&gt;TODAY(),"Fecha futura",IF(IFERROR(VLOOKUP(E916,LISTAS!$A$2:$C$65,3,FALSE),"")&lt;&gt;D916,"La subregión no corresponde al municipio",IF(IF(L916="",FALSE,OR(L916&lt;0,L916&gt;110)),"Edad fuera de rango",IF((V916="Sí")+(W916="Sí")+(X916="Sí")+(Y916="Sí")=0,"Marque al menos un tipo de violencia","OK")))))))</f>
        <v/>
      </c>
    </row>
    <row r="917">
      <c r="A917" s="12">
        <f>IF(OR(F917="",F917="Revisar",C917=""),"",F917&amp;"-"&amp;C917&amp;"-"&amp;TEXT(COUNTIFS($F$2:F917,F917,$C$2:C917,C917),"0000"))</f>
        <v/>
      </c>
      <c r="B917" s="13" t="n"/>
      <c r="C917" s="12">
        <f>IF(ISNUMBER(B917),YEAR(B917),"")</f>
        <v/>
      </c>
      <c r="D917" s="14" t="n"/>
      <c r="E917" s="14" t="n"/>
      <c r="F917" s="12">
        <f>IF(E917="","",IFERROR(VLOOKUP(E917,LISTAS!$A$2:$C$65,2,FALSE),"Revisar"))</f>
        <v/>
      </c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/>
      <c r="AC917" s="14" t="n"/>
      <c r="AD917" s="14" t="n"/>
      <c r="AE917" s="14" t="n"/>
      <c r="AF917" s="14" t="n"/>
      <c r="AG917" s="14" t="n"/>
      <c r="AH917" s="14" t="n"/>
      <c r="AI917" s="14" t="n"/>
      <c r="AJ917" s="14" t="n"/>
      <c r="AK917" s="12">
        <f>IF(COUNTA(B917:B917)+COUNTA(D917:E917)+COUNTA(G917:AJ917)=0,"",IF(COUNTBLANK(B917:B917)+COUNTBLANK(D917:E917)+COUNTBLANK(G917:G917)+COUNTBLANK(O917:AJ917)&gt;0,"Faltan "&amp;(COUNTBLANK(B917:B917)+COUNTBLANK(D917:E917)+COUNTBLANK(G917:G917)+COUNTBLANK(O917:AJ917))&amp;" datos obligatorios",IF(NOT(ISNUMBER(B917)),"Fecha no válida",IF(N(B917)&gt;TODAY(),"Fecha futura",IF(IFERROR(VLOOKUP(E917,LISTAS!$A$2:$C$65,3,FALSE),"")&lt;&gt;D917,"La subregión no corresponde al municipio",IF(IF(L917="",FALSE,OR(L917&lt;0,L917&gt;110)),"Edad fuera de rango",IF((V917="Sí")+(W917="Sí")+(X917="Sí")+(Y917="Sí")=0,"Marque al menos un tipo de violencia","OK")))))))</f>
        <v/>
      </c>
    </row>
    <row r="918">
      <c r="A918" s="12">
        <f>IF(OR(F918="",F918="Revisar",C918=""),"",F918&amp;"-"&amp;C918&amp;"-"&amp;TEXT(COUNTIFS($F$2:F918,F918,$C$2:C918,C918),"0000"))</f>
        <v/>
      </c>
      <c r="B918" s="13" t="n"/>
      <c r="C918" s="12">
        <f>IF(ISNUMBER(B918),YEAR(B918),"")</f>
        <v/>
      </c>
      <c r="D918" s="14" t="n"/>
      <c r="E918" s="14" t="n"/>
      <c r="F918" s="12">
        <f>IF(E918="","",IFERROR(VLOOKUP(E918,LISTAS!$A$2:$C$65,2,FALSE),"Revisar"))</f>
        <v/>
      </c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  <c r="AH918" s="14" t="n"/>
      <c r="AI918" s="14" t="n"/>
      <c r="AJ918" s="14" t="n"/>
      <c r="AK918" s="12">
        <f>IF(COUNTA(B918:B918)+COUNTA(D918:E918)+COUNTA(G918:AJ918)=0,"",IF(COUNTBLANK(B918:B918)+COUNTBLANK(D918:E918)+COUNTBLANK(G918:G918)+COUNTBLANK(O918:AJ918)&gt;0,"Faltan "&amp;(COUNTBLANK(B918:B918)+COUNTBLANK(D918:E918)+COUNTBLANK(G918:G918)+COUNTBLANK(O918:AJ918))&amp;" datos obligatorios",IF(NOT(ISNUMBER(B918)),"Fecha no válida",IF(N(B918)&gt;TODAY(),"Fecha futura",IF(IFERROR(VLOOKUP(E918,LISTAS!$A$2:$C$65,3,FALSE),"")&lt;&gt;D918,"La subregión no corresponde al municipio",IF(IF(L918="",FALSE,OR(L918&lt;0,L918&gt;110)),"Edad fuera de rango",IF((V918="Sí")+(W918="Sí")+(X918="Sí")+(Y918="Sí")=0,"Marque al menos un tipo de violencia","OK")))))))</f>
        <v/>
      </c>
    </row>
    <row r="919">
      <c r="A919" s="12">
        <f>IF(OR(F919="",F919="Revisar",C919=""),"",F919&amp;"-"&amp;C919&amp;"-"&amp;TEXT(COUNTIFS($F$2:F919,F919,$C$2:C919,C919),"0000"))</f>
        <v/>
      </c>
      <c r="B919" s="13" t="n"/>
      <c r="C919" s="12">
        <f>IF(ISNUMBER(B919),YEAR(B919),"")</f>
        <v/>
      </c>
      <c r="D919" s="14" t="n"/>
      <c r="E919" s="14" t="n"/>
      <c r="F919" s="12">
        <f>IF(E919="","",IFERROR(VLOOKUP(E919,LISTAS!$A$2:$C$65,2,FALSE),"Revisar"))</f>
        <v/>
      </c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  <c r="AI919" s="14" t="n"/>
      <c r="AJ919" s="14" t="n"/>
      <c r="AK919" s="12">
        <f>IF(COUNTA(B919:B919)+COUNTA(D919:E919)+COUNTA(G919:AJ919)=0,"",IF(COUNTBLANK(B919:B919)+COUNTBLANK(D919:E919)+COUNTBLANK(G919:G919)+COUNTBLANK(O919:AJ919)&gt;0,"Faltan "&amp;(COUNTBLANK(B919:B919)+COUNTBLANK(D919:E919)+COUNTBLANK(G919:G919)+COUNTBLANK(O919:AJ919))&amp;" datos obligatorios",IF(NOT(ISNUMBER(B919)),"Fecha no válida",IF(N(B919)&gt;TODAY(),"Fecha futura",IF(IFERROR(VLOOKUP(E919,LISTAS!$A$2:$C$65,3,FALSE),"")&lt;&gt;D919,"La subregión no corresponde al municipio",IF(IF(L919="",FALSE,OR(L919&lt;0,L919&gt;110)),"Edad fuera de rango",IF((V919="Sí")+(W919="Sí")+(X919="Sí")+(Y919="Sí")=0,"Marque al menos un tipo de violencia","OK")))))))</f>
        <v/>
      </c>
    </row>
    <row r="920">
      <c r="A920" s="12">
        <f>IF(OR(F920="",F920="Revisar",C920=""),"",F920&amp;"-"&amp;C920&amp;"-"&amp;TEXT(COUNTIFS($F$2:F920,F920,$C$2:C920,C920),"0000"))</f>
        <v/>
      </c>
      <c r="B920" s="13" t="n"/>
      <c r="C920" s="12">
        <f>IF(ISNUMBER(B920),YEAR(B920),"")</f>
        <v/>
      </c>
      <c r="D920" s="14" t="n"/>
      <c r="E920" s="14" t="n"/>
      <c r="F920" s="12">
        <f>IF(E920="","",IFERROR(VLOOKUP(E920,LISTAS!$A$2:$C$65,2,FALSE),"Revisar"))</f>
        <v/>
      </c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  <c r="AH920" s="14" t="n"/>
      <c r="AI920" s="14" t="n"/>
      <c r="AJ920" s="14" t="n"/>
      <c r="AK920" s="12">
        <f>IF(COUNTA(B920:B920)+COUNTA(D920:E920)+COUNTA(G920:AJ920)=0,"",IF(COUNTBLANK(B920:B920)+COUNTBLANK(D920:E920)+COUNTBLANK(G920:G920)+COUNTBLANK(O920:AJ920)&gt;0,"Faltan "&amp;(COUNTBLANK(B920:B920)+COUNTBLANK(D920:E920)+COUNTBLANK(G920:G920)+COUNTBLANK(O920:AJ920))&amp;" datos obligatorios",IF(NOT(ISNUMBER(B920)),"Fecha no válida",IF(N(B920)&gt;TODAY(),"Fecha futura",IF(IFERROR(VLOOKUP(E920,LISTAS!$A$2:$C$65,3,FALSE),"")&lt;&gt;D920,"La subregión no corresponde al municipio",IF(IF(L920="",FALSE,OR(L920&lt;0,L920&gt;110)),"Edad fuera de rango",IF((V920="Sí")+(W920="Sí")+(X920="Sí")+(Y920="Sí")=0,"Marque al menos un tipo de violencia","OK")))))))</f>
        <v/>
      </c>
    </row>
    <row r="921">
      <c r="A921" s="12">
        <f>IF(OR(F921="",F921="Revisar",C921=""),"",F921&amp;"-"&amp;C921&amp;"-"&amp;TEXT(COUNTIFS($F$2:F921,F921,$C$2:C921,C921),"0000"))</f>
        <v/>
      </c>
      <c r="B921" s="13" t="n"/>
      <c r="C921" s="12">
        <f>IF(ISNUMBER(B921),YEAR(B921),"")</f>
        <v/>
      </c>
      <c r="D921" s="14" t="n"/>
      <c r="E921" s="14" t="n"/>
      <c r="F921" s="12">
        <f>IF(E921="","",IFERROR(VLOOKUP(E921,LISTAS!$A$2:$C$65,2,FALSE),"Revisar"))</f>
        <v/>
      </c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  <c r="AA921" s="14" t="n"/>
      <c r="AB921" s="14" t="n"/>
      <c r="AC921" s="14" t="n"/>
      <c r="AD921" s="14" t="n"/>
      <c r="AE921" s="14" t="n"/>
      <c r="AF921" s="14" t="n"/>
      <c r="AG921" s="14" t="n"/>
      <c r="AH921" s="14" t="n"/>
      <c r="AI921" s="14" t="n"/>
      <c r="AJ921" s="14" t="n"/>
      <c r="AK921" s="12">
        <f>IF(COUNTA(B921:B921)+COUNTA(D921:E921)+COUNTA(G921:AJ921)=0,"",IF(COUNTBLANK(B921:B921)+COUNTBLANK(D921:E921)+COUNTBLANK(G921:G921)+COUNTBLANK(O921:AJ921)&gt;0,"Faltan "&amp;(COUNTBLANK(B921:B921)+COUNTBLANK(D921:E921)+COUNTBLANK(G921:G921)+COUNTBLANK(O921:AJ921))&amp;" datos obligatorios",IF(NOT(ISNUMBER(B921)),"Fecha no válida",IF(N(B921)&gt;TODAY(),"Fecha futura",IF(IFERROR(VLOOKUP(E921,LISTAS!$A$2:$C$65,3,FALSE),"")&lt;&gt;D921,"La subregión no corresponde al municipio",IF(IF(L921="",FALSE,OR(L921&lt;0,L921&gt;110)),"Edad fuera de rango",IF((V921="Sí")+(W921="Sí")+(X921="Sí")+(Y921="Sí")=0,"Marque al menos un tipo de violencia","OK")))))))</f>
        <v/>
      </c>
    </row>
    <row r="922">
      <c r="A922" s="12">
        <f>IF(OR(F922="",F922="Revisar",C922=""),"",F922&amp;"-"&amp;C922&amp;"-"&amp;TEXT(COUNTIFS($F$2:F922,F922,$C$2:C922,C922),"0000"))</f>
        <v/>
      </c>
      <c r="B922" s="13" t="n"/>
      <c r="C922" s="12">
        <f>IF(ISNUMBER(B922),YEAR(B922),"")</f>
        <v/>
      </c>
      <c r="D922" s="14" t="n"/>
      <c r="E922" s="14" t="n"/>
      <c r="F922" s="12">
        <f>IF(E922="","",IFERROR(VLOOKUP(E922,LISTAS!$A$2:$C$65,2,FALSE),"Revisar"))</f>
        <v/>
      </c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  <c r="AH922" s="14" t="n"/>
      <c r="AI922" s="14" t="n"/>
      <c r="AJ922" s="14" t="n"/>
      <c r="AK922" s="12">
        <f>IF(COUNTA(B922:B922)+COUNTA(D922:E922)+COUNTA(G922:AJ922)=0,"",IF(COUNTBLANK(B922:B922)+COUNTBLANK(D922:E922)+COUNTBLANK(G922:G922)+COUNTBLANK(O922:AJ922)&gt;0,"Faltan "&amp;(COUNTBLANK(B922:B922)+COUNTBLANK(D922:E922)+COUNTBLANK(G922:G922)+COUNTBLANK(O922:AJ922))&amp;" datos obligatorios",IF(NOT(ISNUMBER(B922)),"Fecha no válida",IF(N(B922)&gt;TODAY(),"Fecha futura",IF(IFERROR(VLOOKUP(E922,LISTAS!$A$2:$C$65,3,FALSE),"")&lt;&gt;D922,"La subregión no corresponde al municipio",IF(IF(L922="",FALSE,OR(L922&lt;0,L922&gt;110)),"Edad fuera de rango",IF((V922="Sí")+(W922="Sí")+(X922="Sí")+(Y922="Sí")=0,"Marque al menos un tipo de violencia","OK")))))))</f>
        <v/>
      </c>
    </row>
    <row r="923">
      <c r="A923" s="12">
        <f>IF(OR(F923="",F923="Revisar",C923=""),"",F923&amp;"-"&amp;C923&amp;"-"&amp;TEXT(COUNTIFS($F$2:F923,F923,$C$2:C923,C923),"0000"))</f>
        <v/>
      </c>
      <c r="B923" s="13" t="n"/>
      <c r="C923" s="12">
        <f>IF(ISNUMBER(B923),YEAR(B923),"")</f>
        <v/>
      </c>
      <c r="D923" s="14" t="n"/>
      <c r="E923" s="14" t="n"/>
      <c r="F923" s="12">
        <f>IF(E923="","",IFERROR(VLOOKUP(E923,LISTAS!$A$2:$C$65,2,FALSE),"Revisar"))</f>
        <v/>
      </c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  <c r="AA923" s="14" t="n"/>
      <c r="AB923" s="14" t="n"/>
      <c r="AC923" s="14" t="n"/>
      <c r="AD923" s="14" t="n"/>
      <c r="AE923" s="14" t="n"/>
      <c r="AF923" s="14" t="n"/>
      <c r="AG923" s="14" t="n"/>
      <c r="AH923" s="14" t="n"/>
      <c r="AI923" s="14" t="n"/>
      <c r="AJ923" s="14" t="n"/>
      <c r="AK923" s="12">
        <f>IF(COUNTA(B923:B923)+COUNTA(D923:E923)+COUNTA(G923:AJ923)=0,"",IF(COUNTBLANK(B923:B923)+COUNTBLANK(D923:E923)+COUNTBLANK(G923:G923)+COUNTBLANK(O923:AJ923)&gt;0,"Faltan "&amp;(COUNTBLANK(B923:B923)+COUNTBLANK(D923:E923)+COUNTBLANK(G923:G923)+COUNTBLANK(O923:AJ923))&amp;" datos obligatorios",IF(NOT(ISNUMBER(B923)),"Fecha no válida",IF(N(B923)&gt;TODAY(),"Fecha futura",IF(IFERROR(VLOOKUP(E923,LISTAS!$A$2:$C$65,3,FALSE),"")&lt;&gt;D923,"La subregión no corresponde al municipio",IF(IF(L923="",FALSE,OR(L923&lt;0,L923&gt;110)),"Edad fuera de rango",IF((V923="Sí")+(W923="Sí")+(X923="Sí")+(Y923="Sí")=0,"Marque al menos un tipo de violencia","OK")))))))</f>
        <v/>
      </c>
    </row>
    <row r="924">
      <c r="A924" s="12">
        <f>IF(OR(F924="",F924="Revisar",C924=""),"",F924&amp;"-"&amp;C924&amp;"-"&amp;TEXT(COUNTIFS($F$2:F924,F924,$C$2:C924,C924),"0000"))</f>
        <v/>
      </c>
      <c r="B924" s="13" t="n"/>
      <c r="C924" s="12">
        <f>IF(ISNUMBER(B924),YEAR(B924),"")</f>
        <v/>
      </c>
      <c r="D924" s="14" t="n"/>
      <c r="E924" s="14" t="n"/>
      <c r="F924" s="12">
        <f>IF(E924="","",IFERROR(VLOOKUP(E924,LISTAS!$A$2:$C$65,2,FALSE),"Revisar"))</f>
        <v/>
      </c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  <c r="AH924" s="14" t="n"/>
      <c r="AI924" s="14" t="n"/>
      <c r="AJ924" s="14" t="n"/>
      <c r="AK924" s="12">
        <f>IF(COUNTA(B924:B924)+COUNTA(D924:E924)+COUNTA(G924:AJ924)=0,"",IF(COUNTBLANK(B924:B924)+COUNTBLANK(D924:E924)+COUNTBLANK(G924:G924)+COUNTBLANK(O924:AJ924)&gt;0,"Faltan "&amp;(COUNTBLANK(B924:B924)+COUNTBLANK(D924:E924)+COUNTBLANK(G924:G924)+COUNTBLANK(O924:AJ924))&amp;" datos obligatorios",IF(NOT(ISNUMBER(B924)),"Fecha no válida",IF(N(B924)&gt;TODAY(),"Fecha futura",IF(IFERROR(VLOOKUP(E924,LISTAS!$A$2:$C$65,3,FALSE),"")&lt;&gt;D924,"La subregión no corresponde al municipio",IF(IF(L924="",FALSE,OR(L924&lt;0,L924&gt;110)),"Edad fuera de rango",IF((V924="Sí")+(W924="Sí")+(X924="Sí")+(Y924="Sí")=0,"Marque al menos un tipo de violencia","OK")))))))</f>
        <v/>
      </c>
    </row>
    <row r="925">
      <c r="A925" s="12">
        <f>IF(OR(F925="",F925="Revisar",C925=""),"",F925&amp;"-"&amp;C925&amp;"-"&amp;TEXT(COUNTIFS($F$2:F925,F925,$C$2:C925,C925),"0000"))</f>
        <v/>
      </c>
      <c r="B925" s="13" t="n"/>
      <c r="C925" s="12">
        <f>IF(ISNUMBER(B925),YEAR(B925),"")</f>
        <v/>
      </c>
      <c r="D925" s="14" t="n"/>
      <c r="E925" s="14" t="n"/>
      <c r="F925" s="12">
        <f>IF(E925="","",IFERROR(VLOOKUP(E925,LISTAS!$A$2:$C$65,2,FALSE),"Revisar"))</f>
        <v/>
      </c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  <c r="AI925" s="14" t="n"/>
      <c r="AJ925" s="14" t="n"/>
      <c r="AK925" s="12">
        <f>IF(COUNTA(B925:B925)+COUNTA(D925:E925)+COUNTA(G925:AJ925)=0,"",IF(COUNTBLANK(B925:B925)+COUNTBLANK(D925:E925)+COUNTBLANK(G925:G925)+COUNTBLANK(O925:AJ925)&gt;0,"Faltan "&amp;(COUNTBLANK(B925:B925)+COUNTBLANK(D925:E925)+COUNTBLANK(G925:G925)+COUNTBLANK(O925:AJ925))&amp;" datos obligatorios",IF(NOT(ISNUMBER(B925)),"Fecha no válida",IF(N(B925)&gt;TODAY(),"Fecha futura",IF(IFERROR(VLOOKUP(E925,LISTAS!$A$2:$C$65,3,FALSE),"")&lt;&gt;D925,"La subregión no corresponde al municipio",IF(IF(L925="",FALSE,OR(L925&lt;0,L925&gt;110)),"Edad fuera de rango",IF((V925="Sí")+(W925="Sí")+(X925="Sí")+(Y925="Sí")=0,"Marque al menos un tipo de violencia","OK")))))))</f>
        <v/>
      </c>
    </row>
    <row r="926">
      <c r="A926" s="12">
        <f>IF(OR(F926="",F926="Revisar",C926=""),"",F926&amp;"-"&amp;C926&amp;"-"&amp;TEXT(COUNTIFS($F$2:F926,F926,$C$2:C926,C926),"0000"))</f>
        <v/>
      </c>
      <c r="B926" s="13" t="n"/>
      <c r="C926" s="12">
        <f>IF(ISNUMBER(B926),YEAR(B926),"")</f>
        <v/>
      </c>
      <c r="D926" s="14" t="n"/>
      <c r="E926" s="14" t="n"/>
      <c r="F926" s="12">
        <f>IF(E926="","",IFERROR(VLOOKUP(E926,LISTAS!$A$2:$C$65,2,FALSE),"Revisar"))</f>
        <v/>
      </c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  <c r="AH926" s="14" t="n"/>
      <c r="AI926" s="14" t="n"/>
      <c r="AJ926" s="14" t="n"/>
      <c r="AK926" s="12">
        <f>IF(COUNTA(B926:B926)+COUNTA(D926:E926)+COUNTA(G926:AJ926)=0,"",IF(COUNTBLANK(B926:B926)+COUNTBLANK(D926:E926)+COUNTBLANK(G926:G926)+COUNTBLANK(O926:AJ926)&gt;0,"Faltan "&amp;(COUNTBLANK(B926:B926)+COUNTBLANK(D926:E926)+COUNTBLANK(G926:G926)+COUNTBLANK(O926:AJ926))&amp;" datos obligatorios",IF(NOT(ISNUMBER(B926)),"Fecha no válida",IF(N(B926)&gt;TODAY(),"Fecha futura",IF(IFERROR(VLOOKUP(E926,LISTAS!$A$2:$C$65,3,FALSE),"")&lt;&gt;D926,"La subregión no corresponde al municipio",IF(IF(L926="",FALSE,OR(L926&lt;0,L926&gt;110)),"Edad fuera de rango",IF((V926="Sí")+(W926="Sí")+(X926="Sí")+(Y926="Sí")=0,"Marque al menos un tipo de violencia","OK")))))))</f>
        <v/>
      </c>
    </row>
    <row r="927">
      <c r="A927" s="12">
        <f>IF(OR(F927="",F927="Revisar",C927=""),"",F927&amp;"-"&amp;C927&amp;"-"&amp;TEXT(COUNTIFS($F$2:F927,F927,$C$2:C927,C927),"0000"))</f>
        <v/>
      </c>
      <c r="B927" s="13" t="n"/>
      <c r="C927" s="12">
        <f>IF(ISNUMBER(B927),YEAR(B927),"")</f>
        <v/>
      </c>
      <c r="D927" s="14" t="n"/>
      <c r="E927" s="14" t="n"/>
      <c r="F927" s="12">
        <f>IF(E927="","",IFERROR(VLOOKUP(E927,LISTAS!$A$2:$C$65,2,FALSE),"Revisar"))</f>
        <v/>
      </c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/>
      <c r="AD927" s="14" t="n"/>
      <c r="AE927" s="14" t="n"/>
      <c r="AF927" s="14" t="n"/>
      <c r="AG927" s="14" t="n"/>
      <c r="AH927" s="14" t="n"/>
      <c r="AI927" s="14" t="n"/>
      <c r="AJ927" s="14" t="n"/>
      <c r="AK927" s="12">
        <f>IF(COUNTA(B927:B927)+COUNTA(D927:E927)+COUNTA(G927:AJ927)=0,"",IF(COUNTBLANK(B927:B927)+COUNTBLANK(D927:E927)+COUNTBLANK(G927:G927)+COUNTBLANK(O927:AJ927)&gt;0,"Faltan "&amp;(COUNTBLANK(B927:B927)+COUNTBLANK(D927:E927)+COUNTBLANK(G927:G927)+COUNTBLANK(O927:AJ927))&amp;" datos obligatorios",IF(NOT(ISNUMBER(B927)),"Fecha no válida",IF(N(B927)&gt;TODAY(),"Fecha futura",IF(IFERROR(VLOOKUP(E927,LISTAS!$A$2:$C$65,3,FALSE),"")&lt;&gt;D927,"La subregión no corresponde al municipio",IF(IF(L927="",FALSE,OR(L927&lt;0,L927&gt;110)),"Edad fuera de rango",IF((V927="Sí")+(W927="Sí")+(X927="Sí")+(Y927="Sí")=0,"Marque al menos un tipo de violencia","OK")))))))</f>
        <v/>
      </c>
    </row>
    <row r="928">
      <c r="A928" s="12">
        <f>IF(OR(F928="",F928="Revisar",C928=""),"",F928&amp;"-"&amp;C928&amp;"-"&amp;TEXT(COUNTIFS($F$2:F928,F928,$C$2:C928,C928),"0000"))</f>
        <v/>
      </c>
      <c r="B928" s="13" t="n"/>
      <c r="C928" s="12">
        <f>IF(ISNUMBER(B928),YEAR(B928),"")</f>
        <v/>
      </c>
      <c r="D928" s="14" t="n"/>
      <c r="E928" s="14" t="n"/>
      <c r="F928" s="12">
        <f>IF(E928="","",IFERROR(VLOOKUP(E928,LISTAS!$A$2:$C$65,2,FALSE),"Revisar"))</f>
        <v/>
      </c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  <c r="AH928" s="14" t="n"/>
      <c r="AI928" s="14" t="n"/>
      <c r="AJ928" s="14" t="n"/>
      <c r="AK928" s="12">
        <f>IF(COUNTA(B928:B928)+COUNTA(D928:E928)+COUNTA(G928:AJ928)=0,"",IF(COUNTBLANK(B928:B928)+COUNTBLANK(D928:E928)+COUNTBLANK(G928:G928)+COUNTBLANK(O928:AJ928)&gt;0,"Faltan "&amp;(COUNTBLANK(B928:B928)+COUNTBLANK(D928:E928)+COUNTBLANK(G928:G928)+COUNTBLANK(O928:AJ928))&amp;" datos obligatorios",IF(NOT(ISNUMBER(B928)),"Fecha no válida",IF(N(B928)&gt;TODAY(),"Fecha futura",IF(IFERROR(VLOOKUP(E928,LISTAS!$A$2:$C$65,3,FALSE),"")&lt;&gt;D928,"La subregión no corresponde al municipio",IF(IF(L928="",FALSE,OR(L928&lt;0,L928&gt;110)),"Edad fuera de rango",IF((V928="Sí")+(W928="Sí")+(X928="Sí")+(Y928="Sí")=0,"Marque al menos un tipo de violencia","OK")))))))</f>
        <v/>
      </c>
    </row>
    <row r="929">
      <c r="A929" s="12">
        <f>IF(OR(F929="",F929="Revisar",C929=""),"",F929&amp;"-"&amp;C929&amp;"-"&amp;TEXT(COUNTIFS($F$2:F929,F929,$C$2:C929,C929),"0000"))</f>
        <v/>
      </c>
      <c r="B929" s="13" t="n"/>
      <c r="C929" s="12">
        <f>IF(ISNUMBER(B929),YEAR(B929),"")</f>
        <v/>
      </c>
      <c r="D929" s="14" t="n"/>
      <c r="E929" s="14" t="n"/>
      <c r="F929" s="12">
        <f>IF(E929="","",IFERROR(VLOOKUP(E929,LISTAS!$A$2:$C$65,2,FALSE),"Revisar"))</f>
        <v/>
      </c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/>
      <c r="AI929" s="14" t="n"/>
      <c r="AJ929" s="14" t="n"/>
      <c r="AK929" s="12">
        <f>IF(COUNTA(B929:B929)+COUNTA(D929:E929)+COUNTA(G929:AJ929)=0,"",IF(COUNTBLANK(B929:B929)+COUNTBLANK(D929:E929)+COUNTBLANK(G929:G929)+COUNTBLANK(O929:AJ929)&gt;0,"Faltan "&amp;(COUNTBLANK(B929:B929)+COUNTBLANK(D929:E929)+COUNTBLANK(G929:G929)+COUNTBLANK(O929:AJ929))&amp;" datos obligatorios",IF(NOT(ISNUMBER(B929)),"Fecha no válida",IF(N(B929)&gt;TODAY(),"Fecha futura",IF(IFERROR(VLOOKUP(E929,LISTAS!$A$2:$C$65,3,FALSE),"")&lt;&gt;D929,"La subregión no corresponde al municipio",IF(IF(L929="",FALSE,OR(L929&lt;0,L929&gt;110)),"Edad fuera de rango",IF((V929="Sí")+(W929="Sí")+(X929="Sí")+(Y929="Sí")=0,"Marque al menos un tipo de violencia","OK")))))))</f>
        <v/>
      </c>
    </row>
    <row r="930">
      <c r="A930" s="12">
        <f>IF(OR(F930="",F930="Revisar",C930=""),"",F930&amp;"-"&amp;C930&amp;"-"&amp;TEXT(COUNTIFS($F$2:F930,F930,$C$2:C930,C930),"0000"))</f>
        <v/>
      </c>
      <c r="B930" s="13" t="n"/>
      <c r="C930" s="12">
        <f>IF(ISNUMBER(B930),YEAR(B930),"")</f>
        <v/>
      </c>
      <c r="D930" s="14" t="n"/>
      <c r="E930" s="14" t="n"/>
      <c r="F930" s="12">
        <f>IF(E930="","",IFERROR(VLOOKUP(E930,LISTAS!$A$2:$C$65,2,FALSE),"Revisar"))</f>
        <v/>
      </c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  <c r="AH930" s="14" t="n"/>
      <c r="AI930" s="14" t="n"/>
      <c r="AJ930" s="14" t="n"/>
      <c r="AK930" s="12">
        <f>IF(COUNTA(B930:B930)+COUNTA(D930:E930)+COUNTA(G930:AJ930)=0,"",IF(COUNTBLANK(B930:B930)+COUNTBLANK(D930:E930)+COUNTBLANK(G930:G930)+COUNTBLANK(O930:AJ930)&gt;0,"Faltan "&amp;(COUNTBLANK(B930:B930)+COUNTBLANK(D930:E930)+COUNTBLANK(G930:G930)+COUNTBLANK(O930:AJ930))&amp;" datos obligatorios",IF(NOT(ISNUMBER(B930)),"Fecha no válida",IF(N(B930)&gt;TODAY(),"Fecha futura",IF(IFERROR(VLOOKUP(E930,LISTAS!$A$2:$C$65,3,FALSE),"")&lt;&gt;D930,"La subregión no corresponde al municipio",IF(IF(L930="",FALSE,OR(L930&lt;0,L930&gt;110)),"Edad fuera de rango",IF((V930="Sí")+(W930="Sí")+(X930="Sí")+(Y930="Sí")=0,"Marque al menos un tipo de violencia","OK")))))))</f>
        <v/>
      </c>
    </row>
    <row r="931">
      <c r="A931" s="12">
        <f>IF(OR(F931="",F931="Revisar",C931=""),"",F931&amp;"-"&amp;C931&amp;"-"&amp;TEXT(COUNTIFS($F$2:F931,F931,$C$2:C931,C931),"0000"))</f>
        <v/>
      </c>
      <c r="B931" s="13" t="n"/>
      <c r="C931" s="12">
        <f>IF(ISNUMBER(B931),YEAR(B931),"")</f>
        <v/>
      </c>
      <c r="D931" s="14" t="n"/>
      <c r="E931" s="14" t="n"/>
      <c r="F931" s="12">
        <f>IF(E931="","",IFERROR(VLOOKUP(E931,LISTAS!$A$2:$C$65,2,FALSE),"Revisar"))</f>
        <v/>
      </c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/>
      <c r="AC931" s="14" t="n"/>
      <c r="AD931" s="14" t="n"/>
      <c r="AE931" s="14" t="n"/>
      <c r="AF931" s="14" t="n"/>
      <c r="AG931" s="14" t="n"/>
      <c r="AH931" s="14" t="n"/>
      <c r="AI931" s="14" t="n"/>
      <c r="AJ931" s="14" t="n"/>
      <c r="AK931" s="12">
        <f>IF(COUNTA(B931:B931)+COUNTA(D931:E931)+COUNTA(G931:AJ931)=0,"",IF(COUNTBLANK(B931:B931)+COUNTBLANK(D931:E931)+COUNTBLANK(G931:G931)+COUNTBLANK(O931:AJ931)&gt;0,"Faltan "&amp;(COUNTBLANK(B931:B931)+COUNTBLANK(D931:E931)+COUNTBLANK(G931:G931)+COUNTBLANK(O931:AJ931))&amp;" datos obligatorios",IF(NOT(ISNUMBER(B931)),"Fecha no válida",IF(N(B931)&gt;TODAY(),"Fecha futura",IF(IFERROR(VLOOKUP(E931,LISTAS!$A$2:$C$65,3,FALSE),"")&lt;&gt;D931,"La subregión no corresponde al municipio",IF(IF(L931="",FALSE,OR(L931&lt;0,L931&gt;110)),"Edad fuera de rango",IF((V931="Sí")+(W931="Sí")+(X931="Sí")+(Y931="Sí")=0,"Marque al menos un tipo de violencia","OK")))))))</f>
        <v/>
      </c>
    </row>
    <row r="932">
      <c r="A932" s="12">
        <f>IF(OR(F932="",F932="Revisar",C932=""),"",F932&amp;"-"&amp;C932&amp;"-"&amp;TEXT(COUNTIFS($F$2:F932,F932,$C$2:C932,C932),"0000"))</f>
        <v/>
      </c>
      <c r="B932" s="13" t="n"/>
      <c r="C932" s="12">
        <f>IF(ISNUMBER(B932),YEAR(B932),"")</f>
        <v/>
      </c>
      <c r="D932" s="14" t="n"/>
      <c r="E932" s="14" t="n"/>
      <c r="F932" s="12">
        <f>IF(E932="","",IFERROR(VLOOKUP(E932,LISTAS!$A$2:$C$65,2,FALSE),"Revisar"))</f>
        <v/>
      </c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  <c r="AH932" s="14" t="n"/>
      <c r="AI932" s="14" t="n"/>
      <c r="AJ932" s="14" t="n"/>
      <c r="AK932" s="12">
        <f>IF(COUNTA(B932:B932)+COUNTA(D932:E932)+COUNTA(G932:AJ932)=0,"",IF(COUNTBLANK(B932:B932)+COUNTBLANK(D932:E932)+COUNTBLANK(G932:G932)+COUNTBLANK(O932:AJ932)&gt;0,"Faltan "&amp;(COUNTBLANK(B932:B932)+COUNTBLANK(D932:E932)+COUNTBLANK(G932:G932)+COUNTBLANK(O932:AJ932))&amp;" datos obligatorios",IF(NOT(ISNUMBER(B932)),"Fecha no válida",IF(N(B932)&gt;TODAY(),"Fecha futura",IF(IFERROR(VLOOKUP(E932,LISTAS!$A$2:$C$65,3,FALSE),"")&lt;&gt;D932,"La subregión no corresponde al municipio",IF(IF(L932="",FALSE,OR(L932&lt;0,L932&gt;110)),"Edad fuera de rango",IF((V932="Sí")+(W932="Sí")+(X932="Sí")+(Y932="Sí")=0,"Marque al menos un tipo de violencia","OK")))))))</f>
        <v/>
      </c>
    </row>
    <row r="933">
      <c r="A933" s="12">
        <f>IF(OR(F933="",F933="Revisar",C933=""),"",F933&amp;"-"&amp;C933&amp;"-"&amp;TEXT(COUNTIFS($F$2:F933,F933,$C$2:C933,C933),"0000"))</f>
        <v/>
      </c>
      <c r="B933" s="13" t="n"/>
      <c r="C933" s="12">
        <f>IF(ISNUMBER(B933),YEAR(B933),"")</f>
        <v/>
      </c>
      <c r="D933" s="14" t="n"/>
      <c r="E933" s="14" t="n"/>
      <c r="F933" s="12">
        <f>IF(E933="","",IFERROR(VLOOKUP(E933,LISTAS!$A$2:$C$65,2,FALSE),"Revisar"))</f>
        <v/>
      </c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  <c r="AA933" s="14" t="n"/>
      <c r="AB933" s="14" t="n"/>
      <c r="AC933" s="14" t="n"/>
      <c r="AD933" s="14" t="n"/>
      <c r="AE933" s="14" t="n"/>
      <c r="AF933" s="14" t="n"/>
      <c r="AG933" s="14" t="n"/>
      <c r="AH933" s="14" t="n"/>
      <c r="AI933" s="14" t="n"/>
      <c r="AJ933" s="14" t="n"/>
      <c r="AK933" s="12">
        <f>IF(COUNTA(B933:B933)+COUNTA(D933:E933)+COUNTA(G933:AJ933)=0,"",IF(COUNTBLANK(B933:B933)+COUNTBLANK(D933:E933)+COUNTBLANK(G933:G933)+COUNTBLANK(O933:AJ933)&gt;0,"Faltan "&amp;(COUNTBLANK(B933:B933)+COUNTBLANK(D933:E933)+COUNTBLANK(G933:G933)+COUNTBLANK(O933:AJ933))&amp;" datos obligatorios",IF(NOT(ISNUMBER(B933)),"Fecha no válida",IF(N(B933)&gt;TODAY(),"Fecha futura",IF(IFERROR(VLOOKUP(E933,LISTAS!$A$2:$C$65,3,FALSE),"")&lt;&gt;D933,"La subregión no corresponde al municipio",IF(IF(L933="",FALSE,OR(L933&lt;0,L933&gt;110)),"Edad fuera de rango",IF((V933="Sí")+(W933="Sí")+(X933="Sí")+(Y933="Sí")=0,"Marque al menos un tipo de violencia","OK")))))))</f>
        <v/>
      </c>
    </row>
    <row r="934">
      <c r="A934" s="12">
        <f>IF(OR(F934="",F934="Revisar",C934=""),"",F934&amp;"-"&amp;C934&amp;"-"&amp;TEXT(COUNTIFS($F$2:F934,F934,$C$2:C934,C934),"0000"))</f>
        <v/>
      </c>
      <c r="B934" s="13" t="n"/>
      <c r="C934" s="12">
        <f>IF(ISNUMBER(B934),YEAR(B934),"")</f>
        <v/>
      </c>
      <c r="D934" s="14" t="n"/>
      <c r="E934" s="14" t="n"/>
      <c r="F934" s="12">
        <f>IF(E934="","",IFERROR(VLOOKUP(E934,LISTAS!$A$2:$C$65,2,FALSE),"Revisar"))</f>
        <v/>
      </c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  <c r="AH934" s="14" t="n"/>
      <c r="AI934" s="14" t="n"/>
      <c r="AJ934" s="14" t="n"/>
      <c r="AK934" s="12">
        <f>IF(COUNTA(B934:B934)+COUNTA(D934:E934)+COUNTA(G934:AJ934)=0,"",IF(COUNTBLANK(B934:B934)+COUNTBLANK(D934:E934)+COUNTBLANK(G934:G934)+COUNTBLANK(O934:AJ934)&gt;0,"Faltan "&amp;(COUNTBLANK(B934:B934)+COUNTBLANK(D934:E934)+COUNTBLANK(G934:G934)+COUNTBLANK(O934:AJ934))&amp;" datos obligatorios",IF(NOT(ISNUMBER(B934)),"Fecha no válida",IF(N(B934)&gt;TODAY(),"Fecha futura",IF(IFERROR(VLOOKUP(E934,LISTAS!$A$2:$C$65,3,FALSE),"")&lt;&gt;D934,"La subregión no corresponde al municipio",IF(IF(L934="",FALSE,OR(L934&lt;0,L934&gt;110)),"Edad fuera de rango",IF((V934="Sí")+(W934="Sí")+(X934="Sí")+(Y934="Sí")=0,"Marque al menos un tipo de violencia","OK")))))))</f>
        <v/>
      </c>
    </row>
    <row r="935">
      <c r="A935" s="12">
        <f>IF(OR(F935="",F935="Revisar",C935=""),"",F935&amp;"-"&amp;C935&amp;"-"&amp;TEXT(COUNTIFS($F$2:F935,F935,$C$2:C935,C935),"0000"))</f>
        <v/>
      </c>
      <c r="B935" s="13" t="n"/>
      <c r="C935" s="12">
        <f>IF(ISNUMBER(B935),YEAR(B935),"")</f>
        <v/>
      </c>
      <c r="D935" s="14" t="n"/>
      <c r="E935" s="14" t="n"/>
      <c r="F935" s="12">
        <f>IF(E935="","",IFERROR(VLOOKUP(E935,LISTAS!$A$2:$C$65,2,FALSE),"Revisar"))</f>
        <v/>
      </c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  <c r="AA935" s="14" t="n"/>
      <c r="AB935" s="14" t="n"/>
      <c r="AC935" s="14" t="n"/>
      <c r="AD935" s="14" t="n"/>
      <c r="AE935" s="14" t="n"/>
      <c r="AF935" s="14" t="n"/>
      <c r="AG935" s="14" t="n"/>
      <c r="AH935" s="14" t="n"/>
      <c r="AI935" s="14" t="n"/>
      <c r="AJ935" s="14" t="n"/>
      <c r="AK935" s="12">
        <f>IF(COUNTA(B935:B935)+COUNTA(D935:E935)+COUNTA(G935:AJ935)=0,"",IF(COUNTBLANK(B935:B935)+COUNTBLANK(D935:E935)+COUNTBLANK(G935:G935)+COUNTBLANK(O935:AJ935)&gt;0,"Faltan "&amp;(COUNTBLANK(B935:B935)+COUNTBLANK(D935:E935)+COUNTBLANK(G935:G935)+COUNTBLANK(O935:AJ935))&amp;" datos obligatorios",IF(NOT(ISNUMBER(B935)),"Fecha no válida",IF(N(B935)&gt;TODAY(),"Fecha futura",IF(IFERROR(VLOOKUP(E935,LISTAS!$A$2:$C$65,3,FALSE),"")&lt;&gt;D935,"La subregión no corresponde al municipio",IF(IF(L935="",FALSE,OR(L935&lt;0,L935&gt;110)),"Edad fuera de rango",IF((V935="Sí")+(W935="Sí")+(X935="Sí")+(Y935="Sí")=0,"Marque al menos un tipo de violencia","OK")))))))</f>
        <v/>
      </c>
    </row>
    <row r="936">
      <c r="A936" s="12">
        <f>IF(OR(F936="",F936="Revisar",C936=""),"",F936&amp;"-"&amp;C936&amp;"-"&amp;TEXT(COUNTIFS($F$2:F936,F936,$C$2:C936,C936),"0000"))</f>
        <v/>
      </c>
      <c r="B936" s="13" t="n"/>
      <c r="C936" s="12">
        <f>IF(ISNUMBER(B936),YEAR(B936),"")</f>
        <v/>
      </c>
      <c r="D936" s="14" t="n"/>
      <c r="E936" s="14" t="n"/>
      <c r="F936" s="12">
        <f>IF(E936="","",IFERROR(VLOOKUP(E936,LISTAS!$A$2:$C$65,2,FALSE),"Revisar"))</f>
        <v/>
      </c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  <c r="AH936" s="14" t="n"/>
      <c r="AI936" s="14" t="n"/>
      <c r="AJ936" s="14" t="n"/>
      <c r="AK936" s="12">
        <f>IF(COUNTA(B936:B936)+COUNTA(D936:E936)+COUNTA(G936:AJ936)=0,"",IF(COUNTBLANK(B936:B936)+COUNTBLANK(D936:E936)+COUNTBLANK(G936:G936)+COUNTBLANK(O936:AJ936)&gt;0,"Faltan "&amp;(COUNTBLANK(B936:B936)+COUNTBLANK(D936:E936)+COUNTBLANK(G936:G936)+COUNTBLANK(O936:AJ936))&amp;" datos obligatorios",IF(NOT(ISNUMBER(B936)),"Fecha no válida",IF(N(B936)&gt;TODAY(),"Fecha futura",IF(IFERROR(VLOOKUP(E936,LISTAS!$A$2:$C$65,3,FALSE),"")&lt;&gt;D936,"La subregión no corresponde al municipio",IF(IF(L936="",FALSE,OR(L936&lt;0,L936&gt;110)),"Edad fuera de rango",IF((V936="Sí")+(W936="Sí")+(X936="Sí")+(Y936="Sí")=0,"Marque al menos un tipo de violencia","OK")))))))</f>
        <v/>
      </c>
    </row>
    <row r="937">
      <c r="A937" s="12">
        <f>IF(OR(F937="",F937="Revisar",C937=""),"",F937&amp;"-"&amp;C937&amp;"-"&amp;TEXT(COUNTIFS($F$2:F937,F937,$C$2:C937,C937),"0000"))</f>
        <v/>
      </c>
      <c r="B937" s="13" t="n"/>
      <c r="C937" s="12">
        <f>IF(ISNUMBER(B937),YEAR(B937),"")</f>
        <v/>
      </c>
      <c r="D937" s="14" t="n"/>
      <c r="E937" s="14" t="n"/>
      <c r="F937" s="12">
        <f>IF(E937="","",IFERROR(VLOOKUP(E937,LISTAS!$A$2:$C$65,2,FALSE),"Revisar"))</f>
        <v/>
      </c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  <c r="AA937" s="14" t="n"/>
      <c r="AB937" s="14" t="n"/>
      <c r="AC937" s="14" t="n"/>
      <c r="AD937" s="14" t="n"/>
      <c r="AE937" s="14" t="n"/>
      <c r="AF937" s="14" t="n"/>
      <c r="AG937" s="14" t="n"/>
      <c r="AH937" s="14" t="n"/>
      <c r="AI937" s="14" t="n"/>
      <c r="AJ937" s="14" t="n"/>
      <c r="AK937" s="12">
        <f>IF(COUNTA(B937:B937)+COUNTA(D937:E937)+COUNTA(G937:AJ937)=0,"",IF(COUNTBLANK(B937:B937)+COUNTBLANK(D937:E937)+COUNTBLANK(G937:G937)+COUNTBLANK(O937:AJ937)&gt;0,"Faltan "&amp;(COUNTBLANK(B937:B937)+COUNTBLANK(D937:E937)+COUNTBLANK(G937:G937)+COUNTBLANK(O937:AJ937))&amp;" datos obligatorios",IF(NOT(ISNUMBER(B937)),"Fecha no válida",IF(N(B937)&gt;TODAY(),"Fecha futura",IF(IFERROR(VLOOKUP(E937,LISTAS!$A$2:$C$65,3,FALSE),"")&lt;&gt;D937,"La subregión no corresponde al municipio",IF(IF(L937="",FALSE,OR(L937&lt;0,L937&gt;110)),"Edad fuera de rango",IF((V937="Sí")+(W937="Sí")+(X937="Sí")+(Y937="Sí")=0,"Marque al menos un tipo de violencia","OK")))))))</f>
        <v/>
      </c>
    </row>
    <row r="938">
      <c r="A938" s="12">
        <f>IF(OR(F938="",F938="Revisar",C938=""),"",F938&amp;"-"&amp;C938&amp;"-"&amp;TEXT(COUNTIFS($F$2:F938,F938,$C$2:C938,C938),"0000"))</f>
        <v/>
      </c>
      <c r="B938" s="13" t="n"/>
      <c r="C938" s="12">
        <f>IF(ISNUMBER(B938),YEAR(B938),"")</f>
        <v/>
      </c>
      <c r="D938" s="14" t="n"/>
      <c r="E938" s="14" t="n"/>
      <c r="F938" s="12">
        <f>IF(E938="","",IFERROR(VLOOKUP(E938,LISTAS!$A$2:$C$65,2,FALSE),"Revisar"))</f>
        <v/>
      </c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  <c r="AH938" s="14" t="n"/>
      <c r="AI938" s="14" t="n"/>
      <c r="AJ938" s="14" t="n"/>
      <c r="AK938" s="12">
        <f>IF(COUNTA(B938:B938)+COUNTA(D938:E938)+COUNTA(G938:AJ938)=0,"",IF(COUNTBLANK(B938:B938)+COUNTBLANK(D938:E938)+COUNTBLANK(G938:G938)+COUNTBLANK(O938:AJ938)&gt;0,"Faltan "&amp;(COUNTBLANK(B938:B938)+COUNTBLANK(D938:E938)+COUNTBLANK(G938:G938)+COUNTBLANK(O938:AJ938))&amp;" datos obligatorios",IF(NOT(ISNUMBER(B938)),"Fecha no válida",IF(N(B938)&gt;TODAY(),"Fecha futura",IF(IFERROR(VLOOKUP(E938,LISTAS!$A$2:$C$65,3,FALSE),"")&lt;&gt;D938,"La subregión no corresponde al municipio",IF(IF(L938="",FALSE,OR(L938&lt;0,L938&gt;110)),"Edad fuera de rango",IF((V938="Sí")+(W938="Sí")+(X938="Sí")+(Y938="Sí")=0,"Marque al menos un tipo de violencia","OK")))))))</f>
        <v/>
      </c>
    </row>
    <row r="939">
      <c r="A939" s="12">
        <f>IF(OR(F939="",F939="Revisar",C939=""),"",F939&amp;"-"&amp;C939&amp;"-"&amp;TEXT(COUNTIFS($F$2:F939,F939,$C$2:C939,C939),"0000"))</f>
        <v/>
      </c>
      <c r="B939" s="13" t="n"/>
      <c r="C939" s="12">
        <f>IF(ISNUMBER(B939),YEAR(B939),"")</f>
        <v/>
      </c>
      <c r="D939" s="14" t="n"/>
      <c r="E939" s="14" t="n"/>
      <c r="F939" s="12">
        <f>IF(E939="","",IFERROR(VLOOKUP(E939,LISTAS!$A$2:$C$65,2,FALSE),"Revisar"))</f>
        <v/>
      </c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/>
      <c r="AC939" s="14" t="n"/>
      <c r="AD939" s="14" t="n"/>
      <c r="AE939" s="14" t="n"/>
      <c r="AF939" s="14" t="n"/>
      <c r="AG939" s="14" t="n"/>
      <c r="AH939" s="14" t="n"/>
      <c r="AI939" s="14" t="n"/>
      <c r="AJ939" s="14" t="n"/>
      <c r="AK939" s="12">
        <f>IF(COUNTA(B939:B939)+COUNTA(D939:E939)+COUNTA(G939:AJ939)=0,"",IF(COUNTBLANK(B939:B939)+COUNTBLANK(D939:E939)+COUNTBLANK(G939:G939)+COUNTBLANK(O939:AJ939)&gt;0,"Faltan "&amp;(COUNTBLANK(B939:B939)+COUNTBLANK(D939:E939)+COUNTBLANK(G939:G939)+COUNTBLANK(O939:AJ939))&amp;" datos obligatorios",IF(NOT(ISNUMBER(B939)),"Fecha no válida",IF(N(B939)&gt;TODAY(),"Fecha futura",IF(IFERROR(VLOOKUP(E939,LISTAS!$A$2:$C$65,3,FALSE),"")&lt;&gt;D939,"La subregión no corresponde al municipio",IF(IF(L939="",FALSE,OR(L939&lt;0,L939&gt;110)),"Edad fuera de rango",IF((V939="Sí")+(W939="Sí")+(X939="Sí")+(Y939="Sí")=0,"Marque al menos un tipo de violencia","OK")))))))</f>
        <v/>
      </c>
    </row>
    <row r="940">
      <c r="A940" s="12">
        <f>IF(OR(F940="",F940="Revisar",C940=""),"",F940&amp;"-"&amp;C940&amp;"-"&amp;TEXT(COUNTIFS($F$2:F940,F940,$C$2:C940,C940),"0000"))</f>
        <v/>
      </c>
      <c r="B940" s="13" t="n"/>
      <c r="C940" s="12">
        <f>IF(ISNUMBER(B940),YEAR(B940),"")</f>
        <v/>
      </c>
      <c r="D940" s="14" t="n"/>
      <c r="E940" s="14" t="n"/>
      <c r="F940" s="12">
        <f>IF(E940="","",IFERROR(VLOOKUP(E940,LISTAS!$A$2:$C$65,2,FALSE),"Revisar"))</f>
        <v/>
      </c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  <c r="AH940" s="14" t="n"/>
      <c r="AI940" s="14" t="n"/>
      <c r="AJ940" s="14" t="n"/>
      <c r="AK940" s="12">
        <f>IF(COUNTA(B940:B940)+COUNTA(D940:E940)+COUNTA(G940:AJ940)=0,"",IF(COUNTBLANK(B940:B940)+COUNTBLANK(D940:E940)+COUNTBLANK(G940:G940)+COUNTBLANK(O940:AJ940)&gt;0,"Faltan "&amp;(COUNTBLANK(B940:B940)+COUNTBLANK(D940:E940)+COUNTBLANK(G940:G940)+COUNTBLANK(O940:AJ940))&amp;" datos obligatorios",IF(NOT(ISNUMBER(B940)),"Fecha no válida",IF(N(B940)&gt;TODAY(),"Fecha futura",IF(IFERROR(VLOOKUP(E940,LISTAS!$A$2:$C$65,3,FALSE),"")&lt;&gt;D940,"La subregión no corresponde al municipio",IF(IF(L940="",FALSE,OR(L940&lt;0,L940&gt;110)),"Edad fuera de rango",IF((V940="Sí")+(W940="Sí")+(X940="Sí")+(Y940="Sí")=0,"Marque al menos un tipo de violencia","OK")))))))</f>
        <v/>
      </c>
    </row>
    <row r="941">
      <c r="A941" s="12">
        <f>IF(OR(F941="",F941="Revisar",C941=""),"",F941&amp;"-"&amp;C941&amp;"-"&amp;TEXT(COUNTIFS($F$2:F941,F941,$C$2:C941,C941),"0000"))</f>
        <v/>
      </c>
      <c r="B941" s="13" t="n"/>
      <c r="C941" s="12">
        <f>IF(ISNUMBER(B941),YEAR(B941),"")</f>
        <v/>
      </c>
      <c r="D941" s="14" t="n"/>
      <c r="E941" s="14" t="n"/>
      <c r="F941" s="12">
        <f>IF(E941="","",IFERROR(VLOOKUP(E941,LISTAS!$A$2:$C$65,2,FALSE),"Revisar"))</f>
        <v/>
      </c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  <c r="AI941" s="14" t="n"/>
      <c r="AJ941" s="14" t="n"/>
      <c r="AK941" s="12">
        <f>IF(COUNTA(B941:B941)+COUNTA(D941:E941)+COUNTA(G941:AJ941)=0,"",IF(COUNTBLANK(B941:B941)+COUNTBLANK(D941:E941)+COUNTBLANK(G941:G941)+COUNTBLANK(O941:AJ941)&gt;0,"Faltan "&amp;(COUNTBLANK(B941:B941)+COUNTBLANK(D941:E941)+COUNTBLANK(G941:G941)+COUNTBLANK(O941:AJ941))&amp;" datos obligatorios",IF(NOT(ISNUMBER(B941)),"Fecha no válida",IF(N(B941)&gt;TODAY(),"Fecha futura",IF(IFERROR(VLOOKUP(E941,LISTAS!$A$2:$C$65,3,FALSE),"")&lt;&gt;D941,"La subregión no corresponde al municipio",IF(IF(L941="",FALSE,OR(L941&lt;0,L941&gt;110)),"Edad fuera de rango",IF((V941="Sí")+(W941="Sí")+(X941="Sí")+(Y941="Sí")=0,"Marque al menos un tipo de violencia","OK")))))))</f>
        <v/>
      </c>
    </row>
    <row r="942">
      <c r="A942" s="12">
        <f>IF(OR(F942="",F942="Revisar",C942=""),"",F942&amp;"-"&amp;C942&amp;"-"&amp;TEXT(COUNTIFS($F$2:F942,F942,$C$2:C942,C942),"0000"))</f>
        <v/>
      </c>
      <c r="B942" s="13" t="n"/>
      <c r="C942" s="12">
        <f>IF(ISNUMBER(B942),YEAR(B942),"")</f>
        <v/>
      </c>
      <c r="D942" s="14" t="n"/>
      <c r="E942" s="14" t="n"/>
      <c r="F942" s="12">
        <f>IF(E942="","",IFERROR(VLOOKUP(E942,LISTAS!$A$2:$C$65,2,FALSE),"Revisar"))</f>
        <v/>
      </c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  <c r="AH942" s="14" t="n"/>
      <c r="AI942" s="14" t="n"/>
      <c r="AJ942" s="14" t="n"/>
      <c r="AK942" s="12">
        <f>IF(COUNTA(B942:B942)+COUNTA(D942:E942)+COUNTA(G942:AJ942)=0,"",IF(COUNTBLANK(B942:B942)+COUNTBLANK(D942:E942)+COUNTBLANK(G942:G942)+COUNTBLANK(O942:AJ942)&gt;0,"Faltan "&amp;(COUNTBLANK(B942:B942)+COUNTBLANK(D942:E942)+COUNTBLANK(G942:G942)+COUNTBLANK(O942:AJ942))&amp;" datos obligatorios",IF(NOT(ISNUMBER(B942)),"Fecha no válida",IF(N(B942)&gt;TODAY(),"Fecha futura",IF(IFERROR(VLOOKUP(E942,LISTAS!$A$2:$C$65,3,FALSE),"")&lt;&gt;D942,"La subregión no corresponde al municipio",IF(IF(L942="",FALSE,OR(L942&lt;0,L942&gt;110)),"Edad fuera de rango",IF((V942="Sí")+(W942="Sí")+(X942="Sí")+(Y942="Sí")=0,"Marque al menos un tipo de violencia","OK")))))))</f>
        <v/>
      </c>
    </row>
    <row r="943">
      <c r="A943" s="12">
        <f>IF(OR(F943="",F943="Revisar",C943=""),"",F943&amp;"-"&amp;C943&amp;"-"&amp;TEXT(COUNTIFS($F$2:F943,F943,$C$2:C943,C943),"0000"))</f>
        <v/>
      </c>
      <c r="B943" s="13" t="n"/>
      <c r="C943" s="12">
        <f>IF(ISNUMBER(B943),YEAR(B943),"")</f>
        <v/>
      </c>
      <c r="D943" s="14" t="n"/>
      <c r="E943" s="14" t="n"/>
      <c r="F943" s="12">
        <f>IF(E943="","",IFERROR(VLOOKUP(E943,LISTAS!$A$2:$C$65,2,FALSE),"Revisar"))</f>
        <v/>
      </c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  <c r="AA943" s="14" t="n"/>
      <c r="AB943" s="14" t="n"/>
      <c r="AC943" s="14" t="n"/>
      <c r="AD943" s="14" t="n"/>
      <c r="AE943" s="14" t="n"/>
      <c r="AF943" s="14" t="n"/>
      <c r="AG943" s="14" t="n"/>
      <c r="AH943" s="14" t="n"/>
      <c r="AI943" s="14" t="n"/>
      <c r="AJ943" s="14" t="n"/>
      <c r="AK943" s="12">
        <f>IF(COUNTA(B943:B943)+COUNTA(D943:E943)+COUNTA(G943:AJ943)=0,"",IF(COUNTBLANK(B943:B943)+COUNTBLANK(D943:E943)+COUNTBLANK(G943:G943)+COUNTBLANK(O943:AJ943)&gt;0,"Faltan "&amp;(COUNTBLANK(B943:B943)+COUNTBLANK(D943:E943)+COUNTBLANK(G943:G943)+COUNTBLANK(O943:AJ943))&amp;" datos obligatorios",IF(NOT(ISNUMBER(B943)),"Fecha no válida",IF(N(B943)&gt;TODAY(),"Fecha futura",IF(IFERROR(VLOOKUP(E943,LISTAS!$A$2:$C$65,3,FALSE),"")&lt;&gt;D943,"La subregión no corresponde al municipio",IF(IF(L943="",FALSE,OR(L943&lt;0,L943&gt;110)),"Edad fuera de rango",IF((V943="Sí")+(W943="Sí")+(X943="Sí")+(Y943="Sí")=0,"Marque al menos un tipo de violencia","OK")))))))</f>
        <v/>
      </c>
    </row>
    <row r="944">
      <c r="A944" s="12">
        <f>IF(OR(F944="",F944="Revisar",C944=""),"",F944&amp;"-"&amp;C944&amp;"-"&amp;TEXT(COUNTIFS($F$2:F944,F944,$C$2:C944,C944),"0000"))</f>
        <v/>
      </c>
      <c r="B944" s="13" t="n"/>
      <c r="C944" s="12">
        <f>IF(ISNUMBER(B944),YEAR(B944),"")</f>
        <v/>
      </c>
      <c r="D944" s="14" t="n"/>
      <c r="E944" s="14" t="n"/>
      <c r="F944" s="12">
        <f>IF(E944="","",IFERROR(VLOOKUP(E944,LISTAS!$A$2:$C$65,2,FALSE),"Revisar"))</f>
        <v/>
      </c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  <c r="AH944" s="14" t="n"/>
      <c r="AI944" s="14" t="n"/>
      <c r="AJ944" s="14" t="n"/>
      <c r="AK944" s="12">
        <f>IF(COUNTA(B944:B944)+COUNTA(D944:E944)+COUNTA(G944:AJ944)=0,"",IF(COUNTBLANK(B944:B944)+COUNTBLANK(D944:E944)+COUNTBLANK(G944:G944)+COUNTBLANK(O944:AJ944)&gt;0,"Faltan "&amp;(COUNTBLANK(B944:B944)+COUNTBLANK(D944:E944)+COUNTBLANK(G944:G944)+COUNTBLANK(O944:AJ944))&amp;" datos obligatorios",IF(NOT(ISNUMBER(B944)),"Fecha no válida",IF(N(B944)&gt;TODAY(),"Fecha futura",IF(IFERROR(VLOOKUP(E944,LISTAS!$A$2:$C$65,3,FALSE),"")&lt;&gt;D944,"La subregión no corresponde al municipio",IF(IF(L944="",FALSE,OR(L944&lt;0,L944&gt;110)),"Edad fuera de rango",IF((V944="Sí")+(W944="Sí")+(X944="Sí")+(Y944="Sí")=0,"Marque al menos un tipo de violencia","OK")))))))</f>
        <v/>
      </c>
    </row>
    <row r="945">
      <c r="A945" s="12">
        <f>IF(OR(F945="",F945="Revisar",C945=""),"",F945&amp;"-"&amp;C945&amp;"-"&amp;TEXT(COUNTIFS($F$2:F945,F945,$C$2:C945,C945),"0000"))</f>
        <v/>
      </c>
      <c r="B945" s="13" t="n"/>
      <c r="C945" s="12">
        <f>IF(ISNUMBER(B945),YEAR(B945),"")</f>
        <v/>
      </c>
      <c r="D945" s="14" t="n"/>
      <c r="E945" s="14" t="n"/>
      <c r="F945" s="12">
        <f>IF(E945="","",IFERROR(VLOOKUP(E945,LISTAS!$A$2:$C$65,2,FALSE),"Revisar"))</f>
        <v/>
      </c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  <c r="AA945" s="14" t="n"/>
      <c r="AB945" s="14" t="n"/>
      <c r="AC945" s="14" t="n"/>
      <c r="AD945" s="14" t="n"/>
      <c r="AE945" s="14" t="n"/>
      <c r="AF945" s="14" t="n"/>
      <c r="AG945" s="14" t="n"/>
      <c r="AH945" s="14" t="n"/>
      <c r="AI945" s="14" t="n"/>
      <c r="AJ945" s="14" t="n"/>
      <c r="AK945" s="12">
        <f>IF(COUNTA(B945:B945)+COUNTA(D945:E945)+COUNTA(G945:AJ945)=0,"",IF(COUNTBLANK(B945:B945)+COUNTBLANK(D945:E945)+COUNTBLANK(G945:G945)+COUNTBLANK(O945:AJ945)&gt;0,"Faltan "&amp;(COUNTBLANK(B945:B945)+COUNTBLANK(D945:E945)+COUNTBLANK(G945:G945)+COUNTBLANK(O945:AJ945))&amp;" datos obligatorios",IF(NOT(ISNUMBER(B945)),"Fecha no válida",IF(N(B945)&gt;TODAY(),"Fecha futura",IF(IFERROR(VLOOKUP(E945,LISTAS!$A$2:$C$65,3,FALSE),"")&lt;&gt;D945,"La subregión no corresponde al municipio",IF(IF(L945="",FALSE,OR(L945&lt;0,L945&gt;110)),"Edad fuera de rango",IF((V945="Sí")+(W945="Sí")+(X945="Sí")+(Y945="Sí")=0,"Marque al menos un tipo de violencia","OK")))))))</f>
        <v/>
      </c>
    </row>
    <row r="946">
      <c r="A946" s="12">
        <f>IF(OR(F946="",F946="Revisar",C946=""),"",F946&amp;"-"&amp;C946&amp;"-"&amp;TEXT(COUNTIFS($F$2:F946,F946,$C$2:C946,C946),"0000"))</f>
        <v/>
      </c>
      <c r="B946" s="13" t="n"/>
      <c r="C946" s="12">
        <f>IF(ISNUMBER(B946),YEAR(B946),"")</f>
        <v/>
      </c>
      <c r="D946" s="14" t="n"/>
      <c r="E946" s="14" t="n"/>
      <c r="F946" s="12">
        <f>IF(E946="","",IFERROR(VLOOKUP(E946,LISTAS!$A$2:$C$65,2,FALSE),"Revisar"))</f>
        <v/>
      </c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  <c r="AH946" s="14" t="n"/>
      <c r="AI946" s="14" t="n"/>
      <c r="AJ946" s="14" t="n"/>
      <c r="AK946" s="12">
        <f>IF(COUNTA(B946:B946)+COUNTA(D946:E946)+COUNTA(G946:AJ946)=0,"",IF(COUNTBLANK(B946:B946)+COUNTBLANK(D946:E946)+COUNTBLANK(G946:G946)+COUNTBLANK(O946:AJ946)&gt;0,"Faltan "&amp;(COUNTBLANK(B946:B946)+COUNTBLANK(D946:E946)+COUNTBLANK(G946:G946)+COUNTBLANK(O946:AJ946))&amp;" datos obligatorios",IF(NOT(ISNUMBER(B946)),"Fecha no válida",IF(N(B946)&gt;TODAY(),"Fecha futura",IF(IFERROR(VLOOKUP(E946,LISTAS!$A$2:$C$65,3,FALSE),"")&lt;&gt;D946,"La subregión no corresponde al municipio",IF(IF(L946="",FALSE,OR(L946&lt;0,L946&gt;110)),"Edad fuera de rango",IF((V946="Sí")+(W946="Sí")+(X946="Sí")+(Y946="Sí")=0,"Marque al menos un tipo de violencia","OK")))))))</f>
        <v/>
      </c>
    </row>
    <row r="947">
      <c r="A947" s="12">
        <f>IF(OR(F947="",F947="Revisar",C947=""),"",F947&amp;"-"&amp;C947&amp;"-"&amp;TEXT(COUNTIFS($F$2:F947,F947,$C$2:C947,C947),"0000"))</f>
        <v/>
      </c>
      <c r="B947" s="13" t="n"/>
      <c r="C947" s="12">
        <f>IF(ISNUMBER(B947),YEAR(B947),"")</f>
        <v/>
      </c>
      <c r="D947" s="14" t="n"/>
      <c r="E947" s="14" t="n"/>
      <c r="F947" s="12">
        <f>IF(E947="","",IFERROR(VLOOKUP(E947,LISTAS!$A$2:$C$65,2,FALSE),"Revisar"))</f>
        <v/>
      </c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/>
      <c r="AD947" s="14" t="n"/>
      <c r="AE947" s="14" t="n"/>
      <c r="AF947" s="14" t="n"/>
      <c r="AG947" s="14" t="n"/>
      <c r="AH947" s="14" t="n"/>
      <c r="AI947" s="14" t="n"/>
      <c r="AJ947" s="14" t="n"/>
      <c r="AK947" s="12">
        <f>IF(COUNTA(B947:B947)+COUNTA(D947:E947)+COUNTA(G947:AJ947)=0,"",IF(COUNTBLANK(B947:B947)+COUNTBLANK(D947:E947)+COUNTBLANK(G947:G947)+COUNTBLANK(O947:AJ947)&gt;0,"Faltan "&amp;(COUNTBLANK(B947:B947)+COUNTBLANK(D947:E947)+COUNTBLANK(G947:G947)+COUNTBLANK(O947:AJ947))&amp;" datos obligatorios",IF(NOT(ISNUMBER(B947)),"Fecha no válida",IF(N(B947)&gt;TODAY(),"Fecha futura",IF(IFERROR(VLOOKUP(E947,LISTAS!$A$2:$C$65,3,FALSE),"")&lt;&gt;D947,"La subregión no corresponde al municipio",IF(IF(L947="",FALSE,OR(L947&lt;0,L947&gt;110)),"Edad fuera de rango",IF((V947="Sí")+(W947="Sí")+(X947="Sí")+(Y947="Sí")=0,"Marque al menos un tipo de violencia","OK")))))))</f>
        <v/>
      </c>
    </row>
    <row r="948">
      <c r="A948" s="12">
        <f>IF(OR(F948="",F948="Revisar",C948=""),"",F948&amp;"-"&amp;C948&amp;"-"&amp;TEXT(COUNTIFS($F$2:F948,F948,$C$2:C948,C948),"0000"))</f>
        <v/>
      </c>
      <c r="B948" s="13" t="n"/>
      <c r="C948" s="12">
        <f>IF(ISNUMBER(B948),YEAR(B948),"")</f>
        <v/>
      </c>
      <c r="D948" s="14" t="n"/>
      <c r="E948" s="14" t="n"/>
      <c r="F948" s="12">
        <f>IF(E948="","",IFERROR(VLOOKUP(E948,LISTAS!$A$2:$C$65,2,FALSE),"Revisar"))</f>
        <v/>
      </c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  <c r="AH948" s="14" t="n"/>
      <c r="AI948" s="14" t="n"/>
      <c r="AJ948" s="14" t="n"/>
      <c r="AK948" s="12">
        <f>IF(COUNTA(B948:B948)+COUNTA(D948:E948)+COUNTA(G948:AJ948)=0,"",IF(COUNTBLANK(B948:B948)+COUNTBLANK(D948:E948)+COUNTBLANK(G948:G948)+COUNTBLANK(O948:AJ948)&gt;0,"Faltan "&amp;(COUNTBLANK(B948:B948)+COUNTBLANK(D948:E948)+COUNTBLANK(G948:G948)+COUNTBLANK(O948:AJ948))&amp;" datos obligatorios",IF(NOT(ISNUMBER(B948)),"Fecha no válida",IF(N(B948)&gt;TODAY(),"Fecha futura",IF(IFERROR(VLOOKUP(E948,LISTAS!$A$2:$C$65,3,FALSE),"")&lt;&gt;D948,"La subregión no corresponde al municipio",IF(IF(L948="",FALSE,OR(L948&lt;0,L948&gt;110)),"Edad fuera de rango",IF((V948="Sí")+(W948="Sí")+(X948="Sí")+(Y948="Sí")=0,"Marque al menos un tipo de violencia","OK")))))))</f>
        <v/>
      </c>
    </row>
    <row r="949">
      <c r="A949" s="12">
        <f>IF(OR(F949="",F949="Revisar",C949=""),"",F949&amp;"-"&amp;C949&amp;"-"&amp;TEXT(COUNTIFS($F$2:F949,F949,$C$2:C949,C949),"0000"))</f>
        <v/>
      </c>
      <c r="B949" s="13" t="n"/>
      <c r="C949" s="12">
        <f>IF(ISNUMBER(B949),YEAR(B949),"")</f>
        <v/>
      </c>
      <c r="D949" s="14" t="n"/>
      <c r="E949" s="14" t="n"/>
      <c r="F949" s="12">
        <f>IF(E949="","",IFERROR(VLOOKUP(E949,LISTAS!$A$2:$C$65,2,FALSE),"Revisar"))</f>
        <v/>
      </c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  <c r="AA949" s="14" t="n"/>
      <c r="AB949" s="14" t="n"/>
      <c r="AC949" s="14" t="n"/>
      <c r="AD949" s="14" t="n"/>
      <c r="AE949" s="14" t="n"/>
      <c r="AF949" s="14" t="n"/>
      <c r="AG949" s="14" t="n"/>
      <c r="AH949" s="14" t="n"/>
      <c r="AI949" s="14" t="n"/>
      <c r="AJ949" s="14" t="n"/>
      <c r="AK949" s="12">
        <f>IF(COUNTA(B949:B949)+COUNTA(D949:E949)+COUNTA(G949:AJ949)=0,"",IF(COUNTBLANK(B949:B949)+COUNTBLANK(D949:E949)+COUNTBLANK(G949:G949)+COUNTBLANK(O949:AJ949)&gt;0,"Faltan "&amp;(COUNTBLANK(B949:B949)+COUNTBLANK(D949:E949)+COUNTBLANK(G949:G949)+COUNTBLANK(O949:AJ949))&amp;" datos obligatorios",IF(NOT(ISNUMBER(B949)),"Fecha no válida",IF(N(B949)&gt;TODAY(),"Fecha futura",IF(IFERROR(VLOOKUP(E949,LISTAS!$A$2:$C$65,3,FALSE),"")&lt;&gt;D949,"La subregión no corresponde al municipio",IF(IF(L949="",FALSE,OR(L949&lt;0,L949&gt;110)),"Edad fuera de rango",IF((V949="Sí")+(W949="Sí")+(X949="Sí")+(Y949="Sí")=0,"Marque al menos un tipo de violencia","OK")))))))</f>
        <v/>
      </c>
    </row>
    <row r="950">
      <c r="A950" s="12">
        <f>IF(OR(F950="",F950="Revisar",C950=""),"",F950&amp;"-"&amp;C950&amp;"-"&amp;TEXT(COUNTIFS($F$2:F950,F950,$C$2:C950,C950),"0000"))</f>
        <v/>
      </c>
      <c r="B950" s="13" t="n"/>
      <c r="C950" s="12">
        <f>IF(ISNUMBER(B950),YEAR(B950),"")</f>
        <v/>
      </c>
      <c r="D950" s="14" t="n"/>
      <c r="E950" s="14" t="n"/>
      <c r="F950" s="12">
        <f>IF(E950="","",IFERROR(VLOOKUP(E950,LISTAS!$A$2:$C$65,2,FALSE),"Revisar"))</f>
        <v/>
      </c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  <c r="AH950" s="14" t="n"/>
      <c r="AI950" s="14" t="n"/>
      <c r="AJ950" s="14" t="n"/>
      <c r="AK950" s="12">
        <f>IF(COUNTA(B950:B950)+COUNTA(D950:E950)+COUNTA(G950:AJ950)=0,"",IF(COUNTBLANK(B950:B950)+COUNTBLANK(D950:E950)+COUNTBLANK(G950:G950)+COUNTBLANK(O950:AJ950)&gt;0,"Faltan "&amp;(COUNTBLANK(B950:B950)+COUNTBLANK(D950:E950)+COUNTBLANK(G950:G950)+COUNTBLANK(O950:AJ950))&amp;" datos obligatorios",IF(NOT(ISNUMBER(B950)),"Fecha no válida",IF(N(B950)&gt;TODAY(),"Fecha futura",IF(IFERROR(VLOOKUP(E950,LISTAS!$A$2:$C$65,3,FALSE),"")&lt;&gt;D950,"La subregión no corresponde al municipio",IF(IF(L950="",FALSE,OR(L950&lt;0,L950&gt;110)),"Edad fuera de rango",IF((V950="Sí")+(W950="Sí")+(X950="Sí")+(Y950="Sí")=0,"Marque al menos un tipo de violencia","OK")))))))</f>
        <v/>
      </c>
    </row>
    <row r="951">
      <c r="A951" s="12">
        <f>IF(OR(F951="",F951="Revisar",C951=""),"",F951&amp;"-"&amp;C951&amp;"-"&amp;TEXT(COUNTIFS($F$2:F951,F951,$C$2:C951,C951),"0000"))</f>
        <v/>
      </c>
      <c r="B951" s="13" t="n"/>
      <c r="C951" s="12">
        <f>IF(ISNUMBER(B951),YEAR(B951),"")</f>
        <v/>
      </c>
      <c r="D951" s="14" t="n"/>
      <c r="E951" s="14" t="n"/>
      <c r="F951" s="12">
        <f>IF(E951="","",IFERROR(VLOOKUP(E951,LISTAS!$A$2:$C$65,2,FALSE),"Revisar"))</f>
        <v/>
      </c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  <c r="AA951" s="14" t="n"/>
      <c r="AB951" s="14" t="n"/>
      <c r="AC951" s="14" t="n"/>
      <c r="AD951" s="14" t="n"/>
      <c r="AE951" s="14" t="n"/>
      <c r="AF951" s="14" t="n"/>
      <c r="AG951" s="14" t="n"/>
      <c r="AH951" s="14" t="n"/>
      <c r="AI951" s="14" t="n"/>
      <c r="AJ951" s="14" t="n"/>
      <c r="AK951" s="12">
        <f>IF(COUNTA(B951:B951)+COUNTA(D951:E951)+COUNTA(G951:AJ951)=0,"",IF(COUNTBLANK(B951:B951)+COUNTBLANK(D951:E951)+COUNTBLANK(G951:G951)+COUNTBLANK(O951:AJ951)&gt;0,"Faltan "&amp;(COUNTBLANK(B951:B951)+COUNTBLANK(D951:E951)+COUNTBLANK(G951:G951)+COUNTBLANK(O951:AJ951))&amp;" datos obligatorios",IF(NOT(ISNUMBER(B951)),"Fecha no válida",IF(N(B951)&gt;TODAY(),"Fecha futura",IF(IFERROR(VLOOKUP(E951,LISTAS!$A$2:$C$65,3,FALSE),"")&lt;&gt;D951,"La subregión no corresponde al municipio",IF(IF(L951="",FALSE,OR(L951&lt;0,L951&gt;110)),"Edad fuera de rango",IF((V951="Sí")+(W951="Sí")+(X951="Sí")+(Y951="Sí")=0,"Marque al menos un tipo de violencia","OK")))))))</f>
        <v/>
      </c>
    </row>
    <row r="952">
      <c r="A952" s="12">
        <f>IF(OR(F952="",F952="Revisar",C952=""),"",F952&amp;"-"&amp;C952&amp;"-"&amp;TEXT(COUNTIFS($F$2:F952,F952,$C$2:C952,C952),"0000"))</f>
        <v/>
      </c>
      <c r="B952" s="13" t="n"/>
      <c r="C952" s="12">
        <f>IF(ISNUMBER(B952),YEAR(B952),"")</f>
        <v/>
      </c>
      <c r="D952" s="14" t="n"/>
      <c r="E952" s="14" t="n"/>
      <c r="F952" s="12">
        <f>IF(E952="","",IFERROR(VLOOKUP(E952,LISTAS!$A$2:$C$65,2,FALSE),"Revisar"))</f>
        <v/>
      </c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  <c r="AH952" s="14" t="n"/>
      <c r="AI952" s="14" t="n"/>
      <c r="AJ952" s="14" t="n"/>
      <c r="AK952" s="12">
        <f>IF(COUNTA(B952:B952)+COUNTA(D952:E952)+COUNTA(G952:AJ952)=0,"",IF(COUNTBLANK(B952:B952)+COUNTBLANK(D952:E952)+COUNTBLANK(G952:G952)+COUNTBLANK(O952:AJ952)&gt;0,"Faltan "&amp;(COUNTBLANK(B952:B952)+COUNTBLANK(D952:E952)+COUNTBLANK(G952:G952)+COUNTBLANK(O952:AJ952))&amp;" datos obligatorios",IF(NOT(ISNUMBER(B952)),"Fecha no válida",IF(N(B952)&gt;TODAY(),"Fecha futura",IF(IFERROR(VLOOKUP(E952,LISTAS!$A$2:$C$65,3,FALSE),"")&lt;&gt;D952,"La subregión no corresponde al municipio",IF(IF(L952="",FALSE,OR(L952&lt;0,L952&gt;110)),"Edad fuera de rango",IF((V952="Sí")+(W952="Sí")+(X952="Sí")+(Y952="Sí")=0,"Marque al menos un tipo de violencia","OK")))))))</f>
        <v/>
      </c>
    </row>
    <row r="953">
      <c r="A953" s="12">
        <f>IF(OR(F953="",F953="Revisar",C953=""),"",F953&amp;"-"&amp;C953&amp;"-"&amp;TEXT(COUNTIFS($F$2:F953,F953,$C$2:C953,C953),"0000"))</f>
        <v/>
      </c>
      <c r="B953" s="13" t="n"/>
      <c r="C953" s="12">
        <f>IF(ISNUMBER(B953),YEAR(B953),"")</f>
        <v/>
      </c>
      <c r="D953" s="14" t="n"/>
      <c r="E953" s="14" t="n"/>
      <c r="F953" s="12">
        <f>IF(E953="","",IFERROR(VLOOKUP(E953,LISTAS!$A$2:$C$65,2,FALSE),"Revisar"))</f>
        <v/>
      </c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  <c r="AA953" s="14" t="n"/>
      <c r="AB953" s="14" t="n"/>
      <c r="AC953" s="14" t="n"/>
      <c r="AD953" s="14" t="n"/>
      <c r="AE953" s="14" t="n"/>
      <c r="AF953" s="14" t="n"/>
      <c r="AG953" s="14" t="n"/>
      <c r="AH953" s="14" t="n"/>
      <c r="AI953" s="14" t="n"/>
      <c r="AJ953" s="14" t="n"/>
      <c r="AK953" s="12">
        <f>IF(COUNTA(B953:B953)+COUNTA(D953:E953)+COUNTA(G953:AJ953)=0,"",IF(COUNTBLANK(B953:B953)+COUNTBLANK(D953:E953)+COUNTBLANK(G953:G953)+COUNTBLANK(O953:AJ953)&gt;0,"Faltan "&amp;(COUNTBLANK(B953:B953)+COUNTBLANK(D953:E953)+COUNTBLANK(G953:G953)+COUNTBLANK(O953:AJ953))&amp;" datos obligatorios",IF(NOT(ISNUMBER(B953)),"Fecha no válida",IF(N(B953)&gt;TODAY(),"Fecha futura",IF(IFERROR(VLOOKUP(E953,LISTAS!$A$2:$C$65,3,FALSE),"")&lt;&gt;D953,"La subregión no corresponde al municipio",IF(IF(L953="",FALSE,OR(L953&lt;0,L953&gt;110)),"Edad fuera de rango",IF((V953="Sí")+(W953="Sí")+(X953="Sí")+(Y953="Sí")=0,"Marque al menos un tipo de violencia","OK")))))))</f>
        <v/>
      </c>
    </row>
    <row r="954">
      <c r="A954" s="12">
        <f>IF(OR(F954="",F954="Revisar",C954=""),"",F954&amp;"-"&amp;C954&amp;"-"&amp;TEXT(COUNTIFS($F$2:F954,F954,$C$2:C954,C954),"0000"))</f>
        <v/>
      </c>
      <c r="B954" s="13" t="n"/>
      <c r="C954" s="12">
        <f>IF(ISNUMBER(B954),YEAR(B954),"")</f>
        <v/>
      </c>
      <c r="D954" s="14" t="n"/>
      <c r="E954" s="14" t="n"/>
      <c r="F954" s="12">
        <f>IF(E954="","",IFERROR(VLOOKUP(E954,LISTAS!$A$2:$C$65,2,FALSE),"Revisar"))</f>
        <v/>
      </c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  <c r="AH954" s="14" t="n"/>
      <c r="AI954" s="14" t="n"/>
      <c r="AJ954" s="14" t="n"/>
      <c r="AK954" s="12">
        <f>IF(COUNTA(B954:B954)+COUNTA(D954:E954)+COUNTA(G954:AJ954)=0,"",IF(COUNTBLANK(B954:B954)+COUNTBLANK(D954:E954)+COUNTBLANK(G954:G954)+COUNTBLANK(O954:AJ954)&gt;0,"Faltan "&amp;(COUNTBLANK(B954:B954)+COUNTBLANK(D954:E954)+COUNTBLANK(G954:G954)+COUNTBLANK(O954:AJ954))&amp;" datos obligatorios",IF(NOT(ISNUMBER(B954)),"Fecha no válida",IF(N(B954)&gt;TODAY(),"Fecha futura",IF(IFERROR(VLOOKUP(E954,LISTAS!$A$2:$C$65,3,FALSE),"")&lt;&gt;D954,"La subregión no corresponde al municipio",IF(IF(L954="",FALSE,OR(L954&lt;0,L954&gt;110)),"Edad fuera de rango",IF((V954="Sí")+(W954="Sí")+(X954="Sí")+(Y954="Sí")=0,"Marque al menos un tipo de violencia","OK")))))))</f>
        <v/>
      </c>
    </row>
    <row r="955">
      <c r="A955" s="12">
        <f>IF(OR(F955="",F955="Revisar",C955=""),"",F955&amp;"-"&amp;C955&amp;"-"&amp;TEXT(COUNTIFS($F$2:F955,F955,$C$2:C955,C955),"0000"))</f>
        <v/>
      </c>
      <c r="B955" s="13" t="n"/>
      <c r="C955" s="12">
        <f>IF(ISNUMBER(B955),YEAR(B955),"")</f>
        <v/>
      </c>
      <c r="D955" s="14" t="n"/>
      <c r="E955" s="14" t="n"/>
      <c r="F955" s="12">
        <f>IF(E955="","",IFERROR(VLOOKUP(E955,LISTAS!$A$2:$C$65,2,FALSE),"Revisar"))</f>
        <v/>
      </c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  <c r="AA955" s="14" t="n"/>
      <c r="AB955" s="14" t="n"/>
      <c r="AC955" s="14" t="n"/>
      <c r="AD955" s="14" t="n"/>
      <c r="AE955" s="14" t="n"/>
      <c r="AF955" s="14" t="n"/>
      <c r="AG955" s="14" t="n"/>
      <c r="AH955" s="14" t="n"/>
      <c r="AI955" s="14" t="n"/>
      <c r="AJ955" s="14" t="n"/>
      <c r="AK955" s="12">
        <f>IF(COUNTA(B955:B955)+COUNTA(D955:E955)+COUNTA(G955:AJ955)=0,"",IF(COUNTBLANK(B955:B955)+COUNTBLANK(D955:E955)+COUNTBLANK(G955:G955)+COUNTBLANK(O955:AJ955)&gt;0,"Faltan "&amp;(COUNTBLANK(B955:B955)+COUNTBLANK(D955:E955)+COUNTBLANK(G955:G955)+COUNTBLANK(O955:AJ955))&amp;" datos obligatorios",IF(NOT(ISNUMBER(B955)),"Fecha no válida",IF(N(B955)&gt;TODAY(),"Fecha futura",IF(IFERROR(VLOOKUP(E955,LISTAS!$A$2:$C$65,3,FALSE),"")&lt;&gt;D955,"La subregión no corresponde al municipio",IF(IF(L955="",FALSE,OR(L955&lt;0,L955&gt;110)),"Edad fuera de rango",IF((V955="Sí")+(W955="Sí")+(X955="Sí")+(Y955="Sí")=0,"Marque al menos un tipo de violencia","OK")))))))</f>
        <v/>
      </c>
    </row>
    <row r="956">
      <c r="A956" s="12">
        <f>IF(OR(F956="",F956="Revisar",C956=""),"",F956&amp;"-"&amp;C956&amp;"-"&amp;TEXT(COUNTIFS($F$2:F956,F956,$C$2:C956,C956),"0000"))</f>
        <v/>
      </c>
      <c r="B956" s="13" t="n"/>
      <c r="C956" s="12">
        <f>IF(ISNUMBER(B956),YEAR(B956),"")</f>
        <v/>
      </c>
      <c r="D956" s="14" t="n"/>
      <c r="E956" s="14" t="n"/>
      <c r="F956" s="12">
        <f>IF(E956="","",IFERROR(VLOOKUP(E956,LISTAS!$A$2:$C$65,2,FALSE),"Revisar"))</f>
        <v/>
      </c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  <c r="AH956" s="14" t="n"/>
      <c r="AI956" s="14" t="n"/>
      <c r="AJ956" s="14" t="n"/>
      <c r="AK956" s="12">
        <f>IF(COUNTA(B956:B956)+COUNTA(D956:E956)+COUNTA(G956:AJ956)=0,"",IF(COUNTBLANK(B956:B956)+COUNTBLANK(D956:E956)+COUNTBLANK(G956:G956)+COUNTBLANK(O956:AJ956)&gt;0,"Faltan "&amp;(COUNTBLANK(B956:B956)+COUNTBLANK(D956:E956)+COUNTBLANK(G956:G956)+COUNTBLANK(O956:AJ956))&amp;" datos obligatorios",IF(NOT(ISNUMBER(B956)),"Fecha no válida",IF(N(B956)&gt;TODAY(),"Fecha futura",IF(IFERROR(VLOOKUP(E956,LISTAS!$A$2:$C$65,3,FALSE),"")&lt;&gt;D956,"La subregión no corresponde al municipio",IF(IF(L956="",FALSE,OR(L956&lt;0,L956&gt;110)),"Edad fuera de rango",IF((V956="Sí")+(W956="Sí")+(X956="Sí")+(Y956="Sí")=0,"Marque al menos un tipo de violencia","OK")))))))</f>
        <v/>
      </c>
    </row>
    <row r="957">
      <c r="A957" s="12">
        <f>IF(OR(F957="",F957="Revisar",C957=""),"",F957&amp;"-"&amp;C957&amp;"-"&amp;TEXT(COUNTIFS($F$2:F957,F957,$C$2:C957,C957),"0000"))</f>
        <v/>
      </c>
      <c r="B957" s="13" t="n"/>
      <c r="C957" s="12">
        <f>IF(ISNUMBER(B957),YEAR(B957),"")</f>
        <v/>
      </c>
      <c r="D957" s="14" t="n"/>
      <c r="E957" s="14" t="n"/>
      <c r="F957" s="12">
        <f>IF(E957="","",IFERROR(VLOOKUP(E957,LISTAS!$A$2:$C$65,2,FALSE),"Revisar"))</f>
        <v/>
      </c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  <c r="AA957" s="14" t="n"/>
      <c r="AB957" s="14" t="n"/>
      <c r="AC957" s="14" t="n"/>
      <c r="AD957" s="14" t="n"/>
      <c r="AE957" s="14" t="n"/>
      <c r="AF957" s="14" t="n"/>
      <c r="AG957" s="14" t="n"/>
      <c r="AH957" s="14" t="n"/>
      <c r="AI957" s="14" t="n"/>
      <c r="AJ957" s="14" t="n"/>
      <c r="AK957" s="12">
        <f>IF(COUNTA(B957:B957)+COUNTA(D957:E957)+COUNTA(G957:AJ957)=0,"",IF(COUNTBLANK(B957:B957)+COUNTBLANK(D957:E957)+COUNTBLANK(G957:G957)+COUNTBLANK(O957:AJ957)&gt;0,"Faltan "&amp;(COUNTBLANK(B957:B957)+COUNTBLANK(D957:E957)+COUNTBLANK(G957:G957)+COUNTBLANK(O957:AJ957))&amp;" datos obligatorios",IF(NOT(ISNUMBER(B957)),"Fecha no válida",IF(N(B957)&gt;TODAY(),"Fecha futura",IF(IFERROR(VLOOKUP(E957,LISTAS!$A$2:$C$65,3,FALSE),"")&lt;&gt;D957,"La subregión no corresponde al municipio",IF(IF(L957="",FALSE,OR(L957&lt;0,L957&gt;110)),"Edad fuera de rango",IF((V957="Sí")+(W957="Sí")+(X957="Sí")+(Y957="Sí")=0,"Marque al menos un tipo de violencia","OK")))))))</f>
        <v/>
      </c>
    </row>
    <row r="958">
      <c r="A958" s="12">
        <f>IF(OR(F958="",F958="Revisar",C958=""),"",F958&amp;"-"&amp;C958&amp;"-"&amp;TEXT(COUNTIFS($F$2:F958,F958,$C$2:C958,C958),"0000"))</f>
        <v/>
      </c>
      <c r="B958" s="13" t="n"/>
      <c r="C958" s="12">
        <f>IF(ISNUMBER(B958),YEAR(B958),"")</f>
        <v/>
      </c>
      <c r="D958" s="14" t="n"/>
      <c r="E958" s="14" t="n"/>
      <c r="F958" s="12">
        <f>IF(E958="","",IFERROR(VLOOKUP(E958,LISTAS!$A$2:$C$65,2,FALSE),"Revisar"))</f>
        <v/>
      </c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  <c r="AH958" s="14" t="n"/>
      <c r="AI958" s="14" t="n"/>
      <c r="AJ958" s="14" t="n"/>
      <c r="AK958" s="12">
        <f>IF(COUNTA(B958:B958)+COUNTA(D958:E958)+COUNTA(G958:AJ958)=0,"",IF(COUNTBLANK(B958:B958)+COUNTBLANK(D958:E958)+COUNTBLANK(G958:G958)+COUNTBLANK(O958:AJ958)&gt;0,"Faltan "&amp;(COUNTBLANK(B958:B958)+COUNTBLANK(D958:E958)+COUNTBLANK(G958:G958)+COUNTBLANK(O958:AJ958))&amp;" datos obligatorios",IF(NOT(ISNUMBER(B958)),"Fecha no válida",IF(N(B958)&gt;TODAY(),"Fecha futura",IF(IFERROR(VLOOKUP(E958,LISTAS!$A$2:$C$65,3,FALSE),"")&lt;&gt;D958,"La subregión no corresponde al municipio",IF(IF(L958="",FALSE,OR(L958&lt;0,L958&gt;110)),"Edad fuera de rango",IF((V958="Sí")+(W958="Sí")+(X958="Sí")+(Y958="Sí")=0,"Marque al menos un tipo de violencia","OK")))))))</f>
        <v/>
      </c>
    </row>
    <row r="959">
      <c r="A959" s="12">
        <f>IF(OR(F959="",F959="Revisar",C959=""),"",F959&amp;"-"&amp;C959&amp;"-"&amp;TEXT(COUNTIFS($F$2:F959,F959,$C$2:C959,C959),"0000"))</f>
        <v/>
      </c>
      <c r="B959" s="13" t="n"/>
      <c r="C959" s="12">
        <f>IF(ISNUMBER(B959),YEAR(B959),"")</f>
        <v/>
      </c>
      <c r="D959" s="14" t="n"/>
      <c r="E959" s="14" t="n"/>
      <c r="F959" s="12">
        <f>IF(E959="","",IFERROR(VLOOKUP(E959,LISTAS!$A$2:$C$65,2,FALSE),"Revisar"))</f>
        <v/>
      </c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/>
      <c r="AC959" s="14" t="n"/>
      <c r="AD959" s="14" t="n"/>
      <c r="AE959" s="14" t="n"/>
      <c r="AF959" s="14" t="n"/>
      <c r="AG959" s="14" t="n"/>
      <c r="AH959" s="14" t="n"/>
      <c r="AI959" s="14" t="n"/>
      <c r="AJ959" s="14" t="n"/>
      <c r="AK959" s="12">
        <f>IF(COUNTA(B959:B959)+COUNTA(D959:E959)+COUNTA(G959:AJ959)=0,"",IF(COUNTBLANK(B959:B959)+COUNTBLANK(D959:E959)+COUNTBLANK(G959:G959)+COUNTBLANK(O959:AJ959)&gt;0,"Faltan "&amp;(COUNTBLANK(B959:B959)+COUNTBLANK(D959:E959)+COUNTBLANK(G959:G959)+COUNTBLANK(O959:AJ959))&amp;" datos obligatorios",IF(NOT(ISNUMBER(B959)),"Fecha no válida",IF(N(B959)&gt;TODAY(),"Fecha futura",IF(IFERROR(VLOOKUP(E959,LISTAS!$A$2:$C$65,3,FALSE),"")&lt;&gt;D959,"La subregión no corresponde al municipio",IF(IF(L959="",FALSE,OR(L959&lt;0,L959&gt;110)),"Edad fuera de rango",IF((V959="Sí")+(W959="Sí")+(X959="Sí")+(Y959="Sí")=0,"Marque al menos un tipo de violencia","OK")))))))</f>
        <v/>
      </c>
    </row>
    <row r="960">
      <c r="A960" s="12">
        <f>IF(OR(F960="",F960="Revisar",C960=""),"",F960&amp;"-"&amp;C960&amp;"-"&amp;TEXT(COUNTIFS($F$2:F960,F960,$C$2:C960,C960),"0000"))</f>
        <v/>
      </c>
      <c r="B960" s="13" t="n"/>
      <c r="C960" s="12">
        <f>IF(ISNUMBER(B960),YEAR(B960),"")</f>
        <v/>
      </c>
      <c r="D960" s="14" t="n"/>
      <c r="E960" s="14" t="n"/>
      <c r="F960" s="12">
        <f>IF(E960="","",IFERROR(VLOOKUP(E960,LISTAS!$A$2:$C$65,2,FALSE),"Revisar"))</f>
        <v/>
      </c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  <c r="AH960" s="14" t="n"/>
      <c r="AI960" s="14" t="n"/>
      <c r="AJ960" s="14" t="n"/>
      <c r="AK960" s="12">
        <f>IF(COUNTA(B960:B960)+COUNTA(D960:E960)+COUNTA(G960:AJ960)=0,"",IF(COUNTBLANK(B960:B960)+COUNTBLANK(D960:E960)+COUNTBLANK(G960:G960)+COUNTBLANK(O960:AJ960)&gt;0,"Faltan "&amp;(COUNTBLANK(B960:B960)+COUNTBLANK(D960:E960)+COUNTBLANK(G960:G960)+COUNTBLANK(O960:AJ960))&amp;" datos obligatorios",IF(NOT(ISNUMBER(B960)),"Fecha no válida",IF(N(B960)&gt;TODAY(),"Fecha futura",IF(IFERROR(VLOOKUP(E960,LISTAS!$A$2:$C$65,3,FALSE),"")&lt;&gt;D960,"La subregión no corresponde al municipio",IF(IF(L960="",FALSE,OR(L960&lt;0,L960&gt;110)),"Edad fuera de rango",IF((V960="Sí")+(W960="Sí")+(X960="Sí")+(Y960="Sí")=0,"Marque al menos un tipo de violencia","OK")))))))</f>
        <v/>
      </c>
    </row>
    <row r="961">
      <c r="A961" s="12">
        <f>IF(OR(F961="",F961="Revisar",C961=""),"",F961&amp;"-"&amp;C961&amp;"-"&amp;TEXT(COUNTIFS($F$2:F961,F961,$C$2:C961,C961),"0000"))</f>
        <v/>
      </c>
      <c r="B961" s="13" t="n"/>
      <c r="C961" s="12">
        <f>IF(ISNUMBER(B961),YEAR(B961),"")</f>
        <v/>
      </c>
      <c r="D961" s="14" t="n"/>
      <c r="E961" s="14" t="n"/>
      <c r="F961" s="12">
        <f>IF(E961="","",IFERROR(VLOOKUP(E961,LISTAS!$A$2:$C$65,2,FALSE),"Revisar"))</f>
        <v/>
      </c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  <c r="AI961" s="14" t="n"/>
      <c r="AJ961" s="14" t="n"/>
      <c r="AK961" s="12">
        <f>IF(COUNTA(B961:B961)+COUNTA(D961:E961)+COUNTA(G961:AJ961)=0,"",IF(COUNTBLANK(B961:B961)+COUNTBLANK(D961:E961)+COUNTBLANK(G961:G961)+COUNTBLANK(O961:AJ961)&gt;0,"Faltan "&amp;(COUNTBLANK(B961:B961)+COUNTBLANK(D961:E961)+COUNTBLANK(G961:G961)+COUNTBLANK(O961:AJ961))&amp;" datos obligatorios",IF(NOT(ISNUMBER(B961)),"Fecha no válida",IF(N(B961)&gt;TODAY(),"Fecha futura",IF(IFERROR(VLOOKUP(E961,LISTAS!$A$2:$C$65,3,FALSE),"")&lt;&gt;D961,"La subregión no corresponde al municipio",IF(IF(L961="",FALSE,OR(L961&lt;0,L961&gt;110)),"Edad fuera de rango",IF((V961="Sí")+(W961="Sí")+(X961="Sí")+(Y961="Sí")=0,"Marque al menos un tipo de violencia","OK")))))))</f>
        <v/>
      </c>
    </row>
    <row r="962">
      <c r="A962" s="12">
        <f>IF(OR(F962="",F962="Revisar",C962=""),"",F962&amp;"-"&amp;C962&amp;"-"&amp;TEXT(COUNTIFS($F$2:F962,F962,$C$2:C962,C962),"0000"))</f>
        <v/>
      </c>
      <c r="B962" s="13" t="n"/>
      <c r="C962" s="12">
        <f>IF(ISNUMBER(B962),YEAR(B962),"")</f>
        <v/>
      </c>
      <c r="D962" s="14" t="n"/>
      <c r="E962" s="14" t="n"/>
      <c r="F962" s="12">
        <f>IF(E962="","",IFERROR(VLOOKUP(E962,LISTAS!$A$2:$C$65,2,FALSE),"Revisar"))</f>
        <v/>
      </c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  <c r="AH962" s="14" t="n"/>
      <c r="AI962" s="14" t="n"/>
      <c r="AJ962" s="14" t="n"/>
      <c r="AK962" s="12">
        <f>IF(COUNTA(B962:B962)+COUNTA(D962:E962)+COUNTA(G962:AJ962)=0,"",IF(COUNTBLANK(B962:B962)+COUNTBLANK(D962:E962)+COUNTBLANK(G962:G962)+COUNTBLANK(O962:AJ962)&gt;0,"Faltan "&amp;(COUNTBLANK(B962:B962)+COUNTBLANK(D962:E962)+COUNTBLANK(G962:G962)+COUNTBLANK(O962:AJ962))&amp;" datos obligatorios",IF(NOT(ISNUMBER(B962)),"Fecha no válida",IF(N(B962)&gt;TODAY(),"Fecha futura",IF(IFERROR(VLOOKUP(E962,LISTAS!$A$2:$C$65,3,FALSE),"")&lt;&gt;D962,"La subregión no corresponde al municipio",IF(IF(L962="",FALSE,OR(L962&lt;0,L962&gt;110)),"Edad fuera de rango",IF((V962="Sí")+(W962="Sí")+(X962="Sí")+(Y962="Sí")=0,"Marque al menos un tipo de violencia","OK")))))))</f>
        <v/>
      </c>
    </row>
    <row r="963">
      <c r="A963" s="12">
        <f>IF(OR(F963="",F963="Revisar",C963=""),"",F963&amp;"-"&amp;C963&amp;"-"&amp;TEXT(COUNTIFS($F$2:F963,F963,$C$2:C963,C963),"0000"))</f>
        <v/>
      </c>
      <c r="B963" s="13" t="n"/>
      <c r="C963" s="12">
        <f>IF(ISNUMBER(B963),YEAR(B963),"")</f>
        <v/>
      </c>
      <c r="D963" s="14" t="n"/>
      <c r="E963" s="14" t="n"/>
      <c r="F963" s="12">
        <f>IF(E963="","",IFERROR(VLOOKUP(E963,LISTAS!$A$2:$C$65,2,FALSE),"Revisar"))</f>
        <v/>
      </c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  <c r="AA963" s="14" t="n"/>
      <c r="AB963" s="14" t="n"/>
      <c r="AC963" s="14" t="n"/>
      <c r="AD963" s="14" t="n"/>
      <c r="AE963" s="14" t="n"/>
      <c r="AF963" s="14" t="n"/>
      <c r="AG963" s="14" t="n"/>
      <c r="AH963" s="14" t="n"/>
      <c r="AI963" s="14" t="n"/>
      <c r="AJ963" s="14" t="n"/>
      <c r="AK963" s="12">
        <f>IF(COUNTA(B963:B963)+COUNTA(D963:E963)+COUNTA(G963:AJ963)=0,"",IF(COUNTBLANK(B963:B963)+COUNTBLANK(D963:E963)+COUNTBLANK(G963:G963)+COUNTBLANK(O963:AJ963)&gt;0,"Faltan "&amp;(COUNTBLANK(B963:B963)+COUNTBLANK(D963:E963)+COUNTBLANK(G963:G963)+COUNTBLANK(O963:AJ963))&amp;" datos obligatorios",IF(NOT(ISNUMBER(B963)),"Fecha no válida",IF(N(B963)&gt;TODAY(),"Fecha futura",IF(IFERROR(VLOOKUP(E963,LISTAS!$A$2:$C$65,3,FALSE),"")&lt;&gt;D963,"La subregión no corresponde al municipio",IF(IF(L963="",FALSE,OR(L963&lt;0,L963&gt;110)),"Edad fuera de rango",IF((V963="Sí")+(W963="Sí")+(X963="Sí")+(Y963="Sí")=0,"Marque al menos un tipo de violencia","OK")))))))</f>
        <v/>
      </c>
    </row>
    <row r="964">
      <c r="A964" s="12">
        <f>IF(OR(F964="",F964="Revisar",C964=""),"",F964&amp;"-"&amp;C964&amp;"-"&amp;TEXT(COUNTIFS($F$2:F964,F964,$C$2:C964,C964),"0000"))</f>
        <v/>
      </c>
      <c r="B964" s="13" t="n"/>
      <c r="C964" s="12">
        <f>IF(ISNUMBER(B964),YEAR(B964),"")</f>
        <v/>
      </c>
      <c r="D964" s="14" t="n"/>
      <c r="E964" s="14" t="n"/>
      <c r="F964" s="12">
        <f>IF(E964="","",IFERROR(VLOOKUP(E964,LISTAS!$A$2:$C$65,2,FALSE),"Revisar"))</f>
        <v/>
      </c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  <c r="AH964" s="14" t="n"/>
      <c r="AI964" s="14" t="n"/>
      <c r="AJ964" s="14" t="n"/>
      <c r="AK964" s="12">
        <f>IF(COUNTA(B964:B964)+COUNTA(D964:E964)+COUNTA(G964:AJ964)=0,"",IF(COUNTBLANK(B964:B964)+COUNTBLANK(D964:E964)+COUNTBLANK(G964:G964)+COUNTBLANK(O964:AJ964)&gt;0,"Faltan "&amp;(COUNTBLANK(B964:B964)+COUNTBLANK(D964:E964)+COUNTBLANK(G964:G964)+COUNTBLANK(O964:AJ964))&amp;" datos obligatorios",IF(NOT(ISNUMBER(B964)),"Fecha no válida",IF(N(B964)&gt;TODAY(),"Fecha futura",IF(IFERROR(VLOOKUP(E964,LISTAS!$A$2:$C$65,3,FALSE),"")&lt;&gt;D964,"La subregión no corresponde al municipio",IF(IF(L964="",FALSE,OR(L964&lt;0,L964&gt;110)),"Edad fuera de rango",IF((V964="Sí")+(W964="Sí")+(X964="Sí")+(Y964="Sí")=0,"Marque al menos un tipo de violencia","OK")))))))</f>
        <v/>
      </c>
    </row>
    <row r="965">
      <c r="A965" s="12">
        <f>IF(OR(F965="",F965="Revisar",C965=""),"",F965&amp;"-"&amp;C965&amp;"-"&amp;TEXT(COUNTIFS($F$2:F965,F965,$C$2:C965,C965),"0000"))</f>
        <v/>
      </c>
      <c r="B965" s="13" t="n"/>
      <c r="C965" s="12">
        <f>IF(ISNUMBER(B965),YEAR(B965),"")</f>
        <v/>
      </c>
      <c r="D965" s="14" t="n"/>
      <c r="E965" s="14" t="n"/>
      <c r="F965" s="12">
        <f>IF(E965="","",IFERROR(VLOOKUP(E965,LISTAS!$A$2:$C$65,2,FALSE),"Revisar"))</f>
        <v/>
      </c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/>
      <c r="AH965" s="14" t="n"/>
      <c r="AI965" s="14" t="n"/>
      <c r="AJ965" s="14" t="n"/>
      <c r="AK965" s="12">
        <f>IF(COUNTA(B965:B965)+COUNTA(D965:E965)+COUNTA(G965:AJ965)=0,"",IF(COUNTBLANK(B965:B965)+COUNTBLANK(D965:E965)+COUNTBLANK(G965:G965)+COUNTBLANK(O965:AJ965)&gt;0,"Faltan "&amp;(COUNTBLANK(B965:B965)+COUNTBLANK(D965:E965)+COUNTBLANK(G965:G965)+COUNTBLANK(O965:AJ965))&amp;" datos obligatorios",IF(NOT(ISNUMBER(B965)),"Fecha no válida",IF(N(B965)&gt;TODAY(),"Fecha futura",IF(IFERROR(VLOOKUP(E965,LISTAS!$A$2:$C$65,3,FALSE),"")&lt;&gt;D965,"La subregión no corresponde al municipio",IF(IF(L965="",FALSE,OR(L965&lt;0,L965&gt;110)),"Edad fuera de rango",IF((V965="Sí")+(W965="Sí")+(X965="Sí")+(Y965="Sí")=0,"Marque al menos un tipo de violencia","OK")))))))</f>
        <v/>
      </c>
    </row>
    <row r="966">
      <c r="A966" s="12">
        <f>IF(OR(F966="",F966="Revisar",C966=""),"",F966&amp;"-"&amp;C966&amp;"-"&amp;TEXT(COUNTIFS($F$2:F966,F966,$C$2:C966,C966),"0000"))</f>
        <v/>
      </c>
      <c r="B966" s="13" t="n"/>
      <c r="C966" s="12">
        <f>IF(ISNUMBER(B966),YEAR(B966),"")</f>
        <v/>
      </c>
      <c r="D966" s="14" t="n"/>
      <c r="E966" s="14" t="n"/>
      <c r="F966" s="12">
        <f>IF(E966="","",IFERROR(VLOOKUP(E966,LISTAS!$A$2:$C$65,2,FALSE),"Revisar"))</f>
        <v/>
      </c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  <c r="AH966" s="14" t="n"/>
      <c r="AI966" s="14" t="n"/>
      <c r="AJ966" s="14" t="n"/>
      <c r="AK966" s="12">
        <f>IF(COUNTA(B966:B966)+COUNTA(D966:E966)+COUNTA(G966:AJ966)=0,"",IF(COUNTBLANK(B966:B966)+COUNTBLANK(D966:E966)+COUNTBLANK(G966:G966)+COUNTBLANK(O966:AJ966)&gt;0,"Faltan "&amp;(COUNTBLANK(B966:B966)+COUNTBLANK(D966:E966)+COUNTBLANK(G966:G966)+COUNTBLANK(O966:AJ966))&amp;" datos obligatorios",IF(NOT(ISNUMBER(B966)),"Fecha no válida",IF(N(B966)&gt;TODAY(),"Fecha futura",IF(IFERROR(VLOOKUP(E966,LISTAS!$A$2:$C$65,3,FALSE),"")&lt;&gt;D966,"La subregión no corresponde al municipio",IF(IF(L966="",FALSE,OR(L966&lt;0,L966&gt;110)),"Edad fuera de rango",IF((V966="Sí")+(W966="Sí")+(X966="Sí")+(Y966="Sí")=0,"Marque al menos un tipo de violencia","OK")))))))</f>
        <v/>
      </c>
    </row>
    <row r="967">
      <c r="A967" s="12">
        <f>IF(OR(F967="",F967="Revisar",C967=""),"",F967&amp;"-"&amp;C967&amp;"-"&amp;TEXT(COUNTIFS($F$2:F967,F967,$C$2:C967,C967),"0000"))</f>
        <v/>
      </c>
      <c r="B967" s="13" t="n"/>
      <c r="C967" s="12">
        <f>IF(ISNUMBER(B967),YEAR(B967),"")</f>
        <v/>
      </c>
      <c r="D967" s="14" t="n"/>
      <c r="E967" s="14" t="n"/>
      <c r="F967" s="12">
        <f>IF(E967="","",IFERROR(VLOOKUP(E967,LISTAS!$A$2:$C$65,2,FALSE),"Revisar"))</f>
        <v/>
      </c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  <c r="AA967" s="14" t="n"/>
      <c r="AB967" s="14" t="n"/>
      <c r="AC967" s="14" t="n"/>
      <c r="AD967" s="14" t="n"/>
      <c r="AE967" s="14" t="n"/>
      <c r="AF967" s="14" t="n"/>
      <c r="AG967" s="14" t="n"/>
      <c r="AH967" s="14" t="n"/>
      <c r="AI967" s="14" t="n"/>
      <c r="AJ967" s="14" t="n"/>
      <c r="AK967" s="12">
        <f>IF(COUNTA(B967:B967)+COUNTA(D967:E967)+COUNTA(G967:AJ967)=0,"",IF(COUNTBLANK(B967:B967)+COUNTBLANK(D967:E967)+COUNTBLANK(G967:G967)+COUNTBLANK(O967:AJ967)&gt;0,"Faltan "&amp;(COUNTBLANK(B967:B967)+COUNTBLANK(D967:E967)+COUNTBLANK(G967:G967)+COUNTBLANK(O967:AJ967))&amp;" datos obligatorios",IF(NOT(ISNUMBER(B967)),"Fecha no válida",IF(N(B967)&gt;TODAY(),"Fecha futura",IF(IFERROR(VLOOKUP(E967,LISTAS!$A$2:$C$65,3,FALSE),"")&lt;&gt;D967,"La subregión no corresponde al municipio",IF(IF(L967="",FALSE,OR(L967&lt;0,L967&gt;110)),"Edad fuera de rango",IF((V967="Sí")+(W967="Sí")+(X967="Sí")+(Y967="Sí")=0,"Marque al menos un tipo de violencia","OK")))))))</f>
        <v/>
      </c>
    </row>
    <row r="968">
      <c r="A968" s="12">
        <f>IF(OR(F968="",F968="Revisar",C968=""),"",F968&amp;"-"&amp;C968&amp;"-"&amp;TEXT(COUNTIFS($F$2:F968,F968,$C$2:C968,C968),"0000"))</f>
        <v/>
      </c>
      <c r="B968" s="13" t="n"/>
      <c r="C968" s="12">
        <f>IF(ISNUMBER(B968),YEAR(B968),"")</f>
        <v/>
      </c>
      <c r="D968" s="14" t="n"/>
      <c r="E968" s="14" t="n"/>
      <c r="F968" s="12">
        <f>IF(E968="","",IFERROR(VLOOKUP(E968,LISTAS!$A$2:$C$65,2,FALSE),"Revisar"))</f>
        <v/>
      </c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  <c r="AH968" s="14" t="n"/>
      <c r="AI968" s="14" t="n"/>
      <c r="AJ968" s="14" t="n"/>
      <c r="AK968" s="12">
        <f>IF(COUNTA(B968:B968)+COUNTA(D968:E968)+COUNTA(G968:AJ968)=0,"",IF(COUNTBLANK(B968:B968)+COUNTBLANK(D968:E968)+COUNTBLANK(G968:G968)+COUNTBLANK(O968:AJ968)&gt;0,"Faltan "&amp;(COUNTBLANK(B968:B968)+COUNTBLANK(D968:E968)+COUNTBLANK(G968:G968)+COUNTBLANK(O968:AJ968))&amp;" datos obligatorios",IF(NOT(ISNUMBER(B968)),"Fecha no válida",IF(N(B968)&gt;TODAY(),"Fecha futura",IF(IFERROR(VLOOKUP(E968,LISTAS!$A$2:$C$65,3,FALSE),"")&lt;&gt;D968,"La subregión no corresponde al municipio",IF(IF(L968="",FALSE,OR(L968&lt;0,L968&gt;110)),"Edad fuera de rango",IF((V968="Sí")+(W968="Sí")+(X968="Sí")+(Y968="Sí")=0,"Marque al menos un tipo de violencia","OK")))))))</f>
        <v/>
      </c>
    </row>
    <row r="969">
      <c r="A969" s="12">
        <f>IF(OR(F969="",F969="Revisar",C969=""),"",F969&amp;"-"&amp;C969&amp;"-"&amp;TEXT(COUNTIFS($F$2:F969,F969,$C$2:C969,C969),"0000"))</f>
        <v/>
      </c>
      <c r="B969" s="13" t="n"/>
      <c r="C969" s="12">
        <f>IF(ISNUMBER(B969),YEAR(B969),"")</f>
        <v/>
      </c>
      <c r="D969" s="14" t="n"/>
      <c r="E969" s="14" t="n"/>
      <c r="F969" s="12">
        <f>IF(E969="","",IFERROR(VLOOKUP(E969,LISTAS!$A$2:$C$65,2,FALSE),"Revisar"))</f>
        <v/>
      </c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  <c r="AI969" s="14" t="n"/>
      <c r="AJ969" s="14" t="n"/>
      <c r="AK969" s="12">
        <f>IF(COUNTA(B969:B969)+COUNTA(D969:E969)+COUNTA(G969:AJ969)=0,"",IF(COUNTBLANK(B969:B969)+COUNTBLANK(D969:E969)+COUNTBLANK(G969:G969)+COUNTBLANK(O969:AJ969)&gt;0,"Faltan "&amp;(COUNTBLANK(B969:B969)+COUNTBLANK(D969:E969)+COUNTBLANK(G969:G969)+COUNTBLANK(O969:AJ969))&amp;" datos obligatorios",IF(NOT(ISNUMBER(B969)),"Fecha no válida",IF(N(B969)&gt;TODAY(),"Fecha futura",IF(IFERROR(VLOOKUP(E969,LISTAS!$A$2:$C$65,3,FALSE),"")&lt;&gt;D969,"La subregión no corresponde al municipio",IF(IF(L969="",FALSE,OR(L969&lt;0,L969&gt;110)),"Edad fuera de rango",IF((V969="Sí")+(W969="Sí")+(X969="Sí")+(Y969="Sí")=0,"Marque al menos un tipo de violencia","OK")))))))</f>
        <v/>
      </c>
    </row>
    <row r="970">
      <c r="A970" s="12">
        <f>IF(OR(F970="",F970="Revisar",C970=""),"",F970&amp;"-"&amp;C970&amp;"-"&amp;TEXT(COUNTIFS($F$2:F970,F970,$C$2:C970,C970),"0000"))</f>
        <v/>
      </c>
      <c r="B970" s="13" t="n"/>
      <c r="C970" s="12">
        <f>IF(ISNUMBER(B970),YEAR(B970),"")</f>
        <v/>
      </c>
      <c r="D970" s="14" t="n"/>
      <c r="E970" s="14" t="n"/>
      <c r="F970" s="12">
        <f>IF(E970="","",IFERROR(VLOOKUP(E970,LISTAS!$A$2:$C$65,2,FALSE),"Revisar"))</f>
        <v/>
      </c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  <c r="AH970" s="14" t="n"/>
      <c r="AI970" s="14" t="n"/>
      <c r="AJ970" s="14" t="n"/>
      <c r="AK970" s="12">
        <f>IF(COUNTA(B970:B970)+COUNTA(D970:E970)+COUNTA(G970:AJ970)=0,"",IF(COUNTBLANK(B970:B970)+COUNTBLANK(D970:E970)+COUNTBLANK(G970:G970)+COUNTBLANK(O970:AJ970)&gt;0,"Faltan "&amp;(COUNTBLANK(B970:B970)+COUNTBLANK(D970:E970)+COUNTBLANK(G970:G970)+COUNTBLANK(O970:AJ970))&amp;" datos obligatorios",IF(NOT(ISNUMBER(B970)),"Fecha no válida",IF(N(B970)&gt;TODAY(),"Fecha futura",IF(IFERROR(VLOOKUP(E970,LISTAS!$A$2:$C$65,3,FALSE),"")&lt;&gt;D970,"La subregión no corresponde al municipio",IF(IF(L970="",FALSE,OR(L970&lt;0,L970&gt;110)),"Edad fuera de rango",IF((V970="Sí")+(W970="Sí")+(X970="Sí")+(Y970="Sí")=0,"Marque al menos un tipo de violencia","OK")))))))</f>
        <v/>
      </c>
    </row>
    <row r="971">
      <c r="A971" s="12">
        <f>IF(OR(F971="",F971="Revisar",C971=""),"",F971&amp;"-"&amp;C971&amp;"-"&amp;TEXT(COUNTIFS($F$2:F971,F971,$C$2:C971,C971),"0000"))</f>
        <v/>
      </c>
      <c r="B971" s="13" t="n"/>
      <c r="C971" s="12">
        <f>IF(ISNUMBER(B971),YEAR(B971),"")</f>
        <v/>
      </c>
      <c r="D971" s="14" t="n"/>
      <c r="E971" s="14" t="n"/>
      <c r="F971" s="12">
        <f>IF(E971="","",IFERROR(VLOOKUP(E971,LISTAS!$A$2:$C$65,2,FALSE),"Revisar"))</f>
        <v/>
      </c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  <c r="AA971" s="14" t="n"/>
      <c r="AB971" s="14" t="n"/>
      <c r="AC971" s="14" t="n"/>
      <c r="AD971" s="14" t="n"/>
      <c r="AE971" s="14" t="n"/>
      <c r="AF971" s="14" t="n"/>
      <c r="AG971" s="14" t="n"/>
      <c r="AH971" s="14" t="n"/>
      <c r="AI971" s="14" t="n"/>
      <c r="AJ971" s="14" t="n"/>
      <c r="AK971" s="12">
        <f>IF(COUNTA(B971:B971)+COUNTA(D971:E971)+COUNTA(G971:AJ971)=0,"",IF(COUNTBLANK(B971:B971)+COUNTBLANK(D971:E971)+COUNTBLANK(G971:G971)+COUNTBLANK(O971:AJ971)&gt;0,"Faltan "&amp;(COUNTBLANK(B971:B971)+COUNTBLANK(D971:E971)+COUNTBLANK(G971:G971)+COUNTBLANK(O971:AJ971))&amp;" datos obligatorios",IF(NOT(ISNUMBER(B971)),"Fecha no válida",IF(N(B971)&gt;TODAY(),"Fecha futura",IF(IFERROR(VLOOKUP(E971,LISTAS!$A$2:$C$65,3,FALSE),"")&lt;&gt;D971,"La subregión no corresponde al municipio",IF(IF(L971="",FALSE,OR(L971&lt;0,L971&gt;110)),"Edad fuera de rango",IF((V971="Sí")+(W971="Sí")+(X971="Sí")+(Y971="Sí")=0,"Marque al menos un tipo de violencia","OK")))))))</f>
        <v/>
      </c>
    </row>
    <row r="972">
      <c r="A972" s="12">
        <f>IF(OR(F972="",F972="Revisar",C972=""),"",F972&amp;"-"&amp;C972&amp;"-"&amp;TEXT(COUNTIFS($F$2:F972,F972,$C$2:C972,C972),"0000"))</f>
        <v/>
      </c>
      <c r="B972" s="13" t="n"/>
      <c r="C972" s="12">
        <f>IF(ISNUMBER(B972),YEAR(B972),"")</f>
        <v/>
      </c>
      <c r="D972" s="14" t="n"/>
      <c r="E972" s="14" t="n"/>
      <c r="F972" s="12">
        <f>IF(E972="","",IFERROR(VLOOKUP(E972,LISTAS!$A$2:$C$65,2,FALSE),"Revisar"))</f>
        <v/>
      </c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  <c r="AH972" s="14" t="n"/>
      <c r="AI972" s="14" t="n"/>
      <c r="AJ972" s="14" t="n"/>
      <c r="AK972" s="12">
        <f>IF(COUNTA(B972:B972)+COUNTA(D972:E972)+COUNTA(G972:AJ972)=0,"",IF(COUNTBLANK(B972:B972)+COUNTBLANK(D972:E972)+COUNTBLANK(G972:G972)+COUNTBLANK(O972:AJ972)&gt;0,"Faltan "&amp;(COUNTBLANK(B972:B972)+COUNTBLANK(D972:E972)+COUNTBLANK(G972:G972)+COUNTBLANK(O972:AJ972))&amp;" datos obligatorios",IF(NOT(ISNUMBER(B972)),"Fecha no válida",IF(N(B972)&gt;TODAY(),"Fecha futura",IF(IFERROR(VLOOKUP(E972,LISTAS!$A$2:$C$65,3,FALSE),"")&lt;&gt;D972,"La subregión no corresponde al municipio",IF(IF(L972="",FALSE,OR(L972&lt;0,L972&gt;110)),"Edad fuera de rango",IF((V972="Sí")+(W972="Sí")+(X972="Sí")+(Y972="Sí")=0,"Marque al menos un tipo de violencia","OK")))))))</f>
        <v/>
      </c>
    </row>
    <row r="973">
      <c r="A973" s="12">
        <f>IF(OR(F973="",F973="Revisar",C973=""),"",F973&amp;"-"&amp;C973&amp;"-"&amp;TEXT(COUNTIFS($F$2:F973,F973,$C$2:C973,C973),"0000"))</f>
        <v/>
      </c>
      <c r="B973" s="13" t="n"/>
      <c r="C973" s="12">
        <f>IF(ISNUMBER(B973),YEAR(B973),"")</f>
        <v/>
      </c>
      <c r="D973" s="14" t="n"/>
      <c r="E973" s="14" t="n"/>
      <c r="F973" s="12">
        <f>IF(E973="","",IFERROR(VLOOKUP(E973,LISTAS!$A$2:$C$65,2,FALSE),"Revisar"))</f>
        <v/>
      </c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/>
      <c r="AF973" s="14" t="n"/>
      <c r="AG973" s="14" t="n"/>
      <c r="AH973" s="14" t="n"/>
      <c r="AI973" s="14" t="n"/>
      <c r="AJ973" s="14" t="n"/>
      <c r="AK973" s="12">
        <f>IF(COUNTA(B973:B973)+COUNTA(D973:E973)+COUNTA(G973:AJ973)=0,"",IF(COUNTBLANK(B973:B973)+COUNTBLANK(D973:E973)+COUNTBLANK(G973:G973)+COUNTBLANK(O973:AJ973)&gt;0,"Faltan "&amp;(COUNTBLANK(B973:B973)+COUNTBLANK(D973:E973)+COUNTBLANK(G973:G973)+COUNTBLANK(O973:AJ973))&amp;" datos obligatorios",IF(NOT(ISNUMBER(B973)),"Fecha no válida",IF(N(B973)&gt;TODAY(),"Fecha futura",IF(IFERROR(VLOOKUP(E973,LISTAS!$A$2:$C$65,3,FALSE),"")&lt;&gt;D973,"La subregión no corresponde al municipio",IF(IF(L973="",FALSE,OR(L973&lt;0,L973&gt;110)),"Edad fuera de rango",IF((V973="Sí")+(W973="Sí")+(X973="Sí")+(Y973="Sí")=0,"Marque al menos un tipo de violencia","OK")))))))</f>
        <v/>
      </c>
    </row>
    <row r="974">
      <c r="A974" s="12">
        <f>IF(OR(F974="",F974="Revisar",C974=""),"",F974&amp;"-"&amp;C974&amp;"-"&amp;TEXT(COUNTIFS($F$2:F974,F974,$C$2:C974,C974),"0000"))</f>
        <v/>
      </c>
      <c r="B974" s="13" t="n"/>
      <c r="C974" s="12">
        <f>IF(ISNUMBER(B974),YEAR(B974),"")</f>
        <v/>
      </c>
      <c r="D974" s="14" t="n"/>
      <c r="E974" s="14" t="n"/>
      <c r="F974" s="12">
        <f>IF(E974="","",IFERROR(VLOOKUP(E974,LISTAS!$A$2:$C$65,2,FALSE),"Revisar"))</f>
        <v/>
      </c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  <c r="AH974" s="14" t="n"/>
      <c r="AI974" s="14" t="n"/>
      <c r="AJ974" s="14" t="n"/>
      <c r="AK974" s="12">
        <f>IF(COUNTA(B974:B974)+COUNTA(D974:E974)+COUNTA(G974:AJ974)=0,"",IF(COUNTBLANK(B974:B974)+COUNTBLANK(D974:E974)+COUNTBLANK(G974:G974)+COUNTBLANK(O974:AJ974)&gt;0,"Faltan "&amp;(COUNTBLANK(B974:B974)+COUNTBLANK(D974:E974)+COUNTBLANK(G974:G974)+COUNTBLANK(O974:AJ974))&amp;" datos obligatorios",IF(NOT(ISNUMBER(B974)),"Fecha no válida",IF(N(B974)&gt;TODAY(),"Fecha futura",IF(IFERROR(VLOOKUP(E974,LISTAS!$A$2:$C$65,3,FALSE),"")&lt;&gt;D974,"La subregión no corresponde al municipio",IF(IF(L974="",FALSE,OR(L974&lt;0,L974&gt;110)),"Edad fuera de rango",IF((V974="Sí")+(W974="Sí")+(X974="Sí")+(Y974="Sí")=0,"Marque al menos un tipo de violencia","OK")))))))</f>
        <v/>
      </c>
    </row>
    <row r="975">
      <c r="A975" s="12">
        <f>IF(OR(F975="",F975="Revisar",C975=""),"",F975&amp;"-"&amp;C975&amp;"-"&amp;TEXT(COUNTIFS($F$2:F975,F975,$C$2:C975,C975),"0000"))</f>
        <v/>
      </c>
      <c r="B975" s="13" t="n"/>
      <c r="C975" s="12">
        <f>IF(ISNUMBER(B975),YEAR(B975),"")</f>
        <v/>
      </c>
      <c r="D975" s="14" t="n"/>
      <c r="E975" s="14" t="n"/>
      <c r="F975" s="12">
        <f>IF(E975="","",IFERROR(VLOOKUP(E975,LISTAS!$A$2:$C$65,2,FALSE),"Revisar"))</f>
        <v/>
      </c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  <c r="AA975" s="14" t="n"/>
      <c r="AB975" s="14" t="n"/>
      <c r="AC975" s="14" t="n"/>
      <c r="AD975" s="14" t="n"/>
      <c r="AE975" s="14" t="n"/>
      <c r="AF975" s="14" t="n"/>
      <c r="AG975" s="14" t="n"/>
      <c r="AH975" s="14" t="n"/>
      <c r="AI975" s="14" t="n"/>
      <c r="AJ975" s="14" t="n"/>
      <c r="AK975" s="12">
        <f>IF(COUNTA(B975:B975)+COUNTA(D975:E975)+COUNTA(G975:AJ975)=0,"",IF(COUNTBLANK(B975:B975)+COUNTBLANK(D975:E975)+COUNTBLANK(G975:G975)+COUNTBLANK(O975:AJ975)&gt;0,"Faltan "&amp;(COUNTBLANK(B975:B975)+COUNTBLANK(D975:E975)+COUNTBLANK(G975:G975)+COUNTBLANK(O975:AJ975))&amp;" datos obligatorios",IF(NOT(ISNUMBER(B975)),"Fecha no válida",IF(N(B975)&gt;TODAY(),"Fecha futura",IF(IFERROR(VLOOKUP(E975,LISTAS!$A$2:$C$65,3,FALSE),"")&lt;&gt;D975,"La subregión no corresponde al municipio",IF(IF(L975="",FALSE,OR(L975&lt;0,L975&gt;110)),"Edad fuera de rango",IF((V975="Sí")+(W975="Sí")+(X975="Sí")+(Y975="Sí")=0,"Marque al menos un tipo de violencia","OK")))))))</f>
        <v/>
      </c>
    </row>
    <row r="976">
      <c r="A976" s="12">
        <f>IF(OR(F976="",F976="Revisar",C976=""),"",F976&amp;"-"&amp;C976&amp;"-"&amp;TEXT(COUNTIFS($F$2:F976,F976,$C$2:C976,C976),"0000"))</f>
        <v/>
      </c>
      <c r="B976" s="13" t="n"/>
      <c r="C976" s="12">
        <f>IF(ISNUMBER(B976),YEAR(B976),"")</f>
        <v/>
      </c>
      <c r="D976" s="14" t="n"/>
      <c r="E976" s="14" t="n"/>
      <c r="F976" s="12">
        <f>IF(E976="","",IFERROR(VLOOKUP(E976,LISTAS!$A$2:$C$65,2,FALSE),"Revisar"))</f>
        <v/>
      </c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  <c r="AH976" s="14" t="n"/>
      <c r="AI976" s="14" t="n"/>
      <c r="AJ976" s="14" t="n"/>
      <c r="AK976" s="12">
        <f>IF(COUNTA(B976:B976)+COUNTA(D976:E976)+COUNTA(G976:AJ976)=0,"",IF(COUNTBLANK(B976:B976)+COUNTBLANK(D976:E976)+COUNTBLANK(G976:G976)+COUNTBLANK(O976:AJ976)&gt;0,"Faltan "&amp;(COUNTBLANK(B976:B976)+COUNTBLANK(D976:E976)+COUNTBLANK(G976:G976)+COUNTBLANK(O976:AJ976))&amp;" datos obligatorios",IF(NOT(ISNUMBER(B976)),"Fecha no válida",IF(N(B976)&gt;TODAY(),"Fecha futura",IF(IFERROR(VLOOKUP(E976,LISTAS!$A$2:$C$65,3,FALSE),"")&lt;&gt;D976,"La subregión no corresponde al municipio",IF(IF(L976="",FALSE,OR(L976&lt;0,L976&gt;110)),"Edad fuera de rango",IF((V976="Sí")+(W976="Sí")+(X976="Sí")+(Y976="Sí")=0,"Marque al menos un tipo de violencia","OK")))))))</f>
        <v/>
      </c>
    </row>
    <row r="977">
      <c r="A977" s="12">
        <f>IF(OR(F977="",F977="Revisar",C977=""),"",F977&amp;"-"&amp;C977&amp;"-"&amp;TEXT(COUNTIFS($F$2:F977,F977,$C$2:C977,C977),"0000"))</f>
        <v/>
      </c>
      <c r="B977" s="13" t="n"/>
      <c r="C977" s="12">
        <f>IF(ISNUMBER(B977),YEAR(B977),"")</f>
        <v/>
      </c>
      <c r="D977" s="14" t="n"/>
      <c r="E977" s="14" t="n"/>
      <c r="F977" s="12">
        <f>IF(E977="","",IFERROR(VLOOKUP(E977,LISTAS!$A$2:$C$65,2,FALSE),"Revisar"))</f>
        <v/>
      </c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/>
      <c r="AI977" s="14" t="n"/>
      <c r="AJ977" s="14" t="n"/>
      <c r="AK977" s="12">
        <f>IF(COUNTA(B977:B977)+COUNTA(D977:E977)+COUNTA(G977:AJ977)=0,"",IF(COUNTBLANK(B977:B977)+COUNTBLANK(D977:E977)+COUNTBLANK(G977:G977)+COUNTBLANK(O977:AJ977)&gt;0,"Faltan "&amp;(COUNTBLANK(B977:B977)+COUNTBLANK(D977:E977)+COUNTBLANK(G977:G977)+COUNTBLANK(O977:AJ977))&amp;" datos obligatorios",IF(NOT(ISNUMBER(B977)),"Fecha no válida",IF(N(B977)&gt;TODAY(),"Fecha futura",IF(IFERROR(VLOOKUP(E977,LISTAS!$A$2:$C$65,3,FALSE),"")&lt;&gt;D977,"La subregión no corresponde al municipio",IF(IF(L977="",FALSE,OR(L977&lt;0,L977&gt;110)),"Edad fuera de rango",IF((V977="Sí")+(W977="Sí")+(X977="Sí")+(Y977="Sí")=0,"Marque al menos un tipo de violencia","OK")))))))</f>
        <v/>
      </c>
    </row>
    <row r="978">
      <c r="A978" s="12">
        <f>IF(OR(F978="",F978="Revisar",C978=""),"",F978&amp;"-"&amp;C978&amp;"-"&amp;TEXT(COUNTIFS($F$2:F978,F978,$C$2:C978,C978),"0000"))</f>
        <v/>
      </c>
      <c r="B978" s="13" t="n"/>
      <c r="C978" s="12">
        <f>IF(ISNUMBER(B978),YEAR(B978),"")</f>
        <v/>
      </c>
      <c r="D978" s="14" t="n"/>
      <c r="E978" s="14" t="n"/>
      <c r="F978" s="12">
        <f>IF(E978="","",IFERROR(VLOOKUP(E978,LISTAS!$A$2:$C$65,2,FALSE),"Revisar"))</f>
        <v/>
      </c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  <c r="AH978" s="14" t="n"/>
      <c r="AI978" s="14" t="n"/>
      <c r="AJ978" s="14" t="n"/>
      <c r="AK978" s="12">
        <f>IF(COUNTA(B978:B978)+COUNTA(D978:E978)+COUNTA(G978:AJ978)=0,"",IF(COUNTBLANK(B978:B978)+COUNTBLANK(D978:E978)+COUNTBLANK(G978:G978)+COUNTBLANK(O978:AJ978)&gt;0,"Faltan "&amp;(COUNTBLANK(B978:B978)+COUNTBLANK(D978:E978)+COUNTBLANK(G978:G978)+COUNTBLANK(O978:AJ978))&amp;" datos obligatorios",IF(NOT(ISNUMBER(B978)),"Fecha no válida",IF(N(B978)&gt;TODAY(),"Fecha futura",IF(IFERROR(VLOOKUP(E978,LISTAS!$A$2:$C$65,3,FALSE),"")&lt;&gt;D978,"La subregión no corresponde al municipio",IF(IF(L978="",FALSE,OR(L978&lt;0,L978&gt;110)),"Edad fuera de rango",IF((V978="Sí")+(W978="Sí")+(X978="Sí")+(Y978="Sí")=0,"Marque al menos un tipo de violencia","OK")))))))</f>
        <v/>
      </c>
    </row>
    <row r="979">
      <c r="A979" s="12">
        <f>IF(OR(F979="",F979="Revisar",C979=""),"",F979&amp;"-"&amp;C979&amp;"-"&amp;TEXT(COUNTIFS($F$2:F979,F979,$C$2:C979,C979),"0000"))</f>
        <v/>
      </c>
      <c r="B979" s="13" t="n"/>
      <c r="C979" s="12">
        <f>IF(ISNUMBER(B979),YEAR(B979),"")</f>
        <v/>
      </c>
      <c r="D979" s="14" t="n"/>
      <c r="E979" s="14" t="n"/>
      <c r="F979" s="12">
        <f>IF(E979="","",IFERROR(VLOOKUP(E979,LISTAS!$A$2:$C$65,2,FALSE),"Revisar"))</f>
        <v/>
      </c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  <c r="AA979" s="14" t="n"/>
      <c r="AB979" s="14" t="n"/>
      <c r="AC979" s="14" t="n"/>
      <c r="AD979" s="14" t="n"/>
      <c r="AE979" s="14" t="n"/>
      <c r="AF979" s="14" t="n"/>
      <c r="AG979" s="14" t="n"/>
      <c r="AH979" s="14" t="n"/>
      <c r="AI979" s="14" t="n"/>
      <c r="AJ979" s="14" t="n"/>
      <c r="AK979" s="12">
        <f>IF(COUNTA(B979:B979)+COUNTA(D979:E979)+COUNTA(G979:AJ979)=0,"",IF(COUNTBLANK(B979:B979)+COUNTBLANK(D979:E979)+COUNTBLANK(G979:G979)+COUNTBLANK(O979:AJ979)&gt;0,"Faltan "&amp;(COUNTBLANK(B979:B979)+COUNTBLANK(D979:E979)+COUNTBLANK(G979:G979)+COUNTBLANK(O979:AJ979))&amp;" datos obligatorios",IF(NOT(ISNUMBER(B979)),"Fecha no válida",IF(N(B979)&gt;TODAY(),"Fecha futura",IF(IFERROR(VLOOKUP(E979,LISTAS!$A$2:$C$65,3,FALSE),"")&lt;&gt;D979,"La subregión no corresponde al municipio",IF(IF(L979="",FALSE,OR(L979&lt;0,L979&gt;110)),"Edad fuera de rango",IF((V979="Sí")+(W979="Sí")+(X979="Sí")+(Y979="Sí")=0,"Marque al menos un tipo de violencia","OK")))))))</f>
        <v/>
      </c>
    </row>
    <row r="980">
      <c r="A980" s="12">
        <f>IF(OR(F980="",F980="Revisar",C980=""),"",F980&amp;"-"&amp;C980&amp;"-"&amp;TEXT(COUNTIFS($F$2:F980,F980,$C$2:C980,C980),"0000"))</f>
        <v/>
      </c>
      <c r="B980" s="13" t="n"/>
      <c r="C980" s="12">
        <f>IF(ISNUMBER(B980),YEAR(B980),"")</f>
        <v/>
      </c>
      <c r="D980" s="14" t="n"/>
      <c r="E980" s="14" t="n"/>
      <c r="F980" s="12">
        <f>IF(E980="","",IFERROR(VLOOKUP(E980,LISTAS!$A$2:$C$65,2,FALSE),"Revisar"))</f>
        <v/>
      </c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  <c r="AH980" s="14" t="n"/>
      <c r="AI980" s="14" t="n"/>
      <c r="AJ980" s="14" t="n"/>
      <c r="AK980" s="12">
        <f>IF(COUNTA(B980:B980)+COUNTA(D980:E980)+COUNTA(G980:AJ980)=0,"",IF(COUNTBLANK(B980:B980)+COUNTBLANK(D980:E980)+COUNTBLANK(G980:G980)+COUNTBLANK(O980:AJ980)&gt;0,"Faltan "&amp;(COUNTBLANK(B980:B980)+COUNTBLANK(D980:E980)+COUNTBLANK(G980:G980)+COUNTBLANK(O980:AJ980))&amp;" datos obligatorios",IF(NOT(ISNUMBER(B980)),"Fecha no válida",IF(N(B980)&gt;TODAY(),"Fecha futura",IF(IFERROR(VLOOKUP(E980,LISTAS!$A$2:$C$65,3,FALSE),"")&lt;&gt;D980,"La subregión no corresponde al municipio",IF(IF(L980="",FALSE,OR(L980&lt;0,L980&gt;110)),"Edad fuera de rango",IF((V980="Sí")+(W980="Sí")+(X980="Sí")+(Y980="Sí")=0,"Marque al menos un tipo de violencia","OK")))))))</f>
        <v/>
      </c>
    </row>
    <row r="981">
      <c r="A981" s="12">
        <f>IF(OR(F981="",F981="Revisar",C981=""),"",F981&amp;"-"&amp;C981&amp;"-"&amp;TEXT(COUNTIFS($F$2:F981,F981,$C$2:C981,C981),"0000"))</f>
        <v/>
      </c>
      <c r="B981" s="13" t="n"/>
      <c r="C981" s="12">
        <f>IF(ISNUMBER(B981),YEAR(B981),"")</f>
        <v/>
      </c>
      <c r="D981" s="14" t="n"/>
      <c r="E981" s="14" t="n"/>
      <c r="F981" s="12">
        <f>IF(E981="","",IFERROR(VLOOKUP(E981,LISTAS!$A$2:$C$65,2,FALSE),"Revisar"))</f>
        <v/>
      </c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  <c r="AA981" s="14" t="n"/>
      <c r="AB981" s="14" t="n"/>
      <c r="AC981" s="14" t="n"/>
      <c r="AD981" s="14" t="n"/>
      <c r="AE981" s="14" t="n"/>
      <c r="AF981" s="14" t="n"/>
      <c r="AG981" s="14" t="n"/>
      <c r="AH981" s="14" t="n"/>
      <c r="AI981" s="14" t="n"/>
      <c r="AJ981" s="14" t="n"/>
      <c r="AK981" s="12">
        <f>IF(COUNTA(B981:B981)+COUNTA(D981:E981)+COUNTA(G981:AJ981)=0,"",IF(COUNTBLANK(B981:B981)+COUNTBLANK(D981:E981)+COUNTBLANK(G981:G981)+COUNTBLANK(O981:AJ981)&gt;0,"Faltan "&amp;(COUNTBLANK(B981:B981)+COUNTBLANK(D981:E981)+COUNTBLANK(G981:G981)+COUNTBLANK(O981:AJ981))&amp;" datos obligatorios",IF(NOT(ISNUMBER(B981)),"Fecha no válida",IF(N(B981)&gt;TODAY(),"Fecha futura",IF(IFERROR(VLOOKUP(E981,LISTAS!$A$2:$C$65,3,FALSE),"")&lt;&gt;D981,"La subregión no corresponde al municipio",IF(IF(L981="",FALSE,OR(L981&lt;0,L981&gt;110)),"Edad fuera de rango",IF((V981="Sí")+(W981="Sí")+(X981="Sí")+(Y981="Sí")=0,"Marque al menos un tipo de violencia","OK")))))))</f>
        <v/>
      </c>
    </row>
    <row r="982">
      <c r="A982" s="12">
        <f>IF(OR(F982="",F982="Revisar",C982=""),"",F982&amp;"-"&amp;C982&amp;"-"&amp;TEXT(COUNTIFS($F$2:F982,F982,$C$2:C982,C982),"0000"))</f>
        <v/>
      </c>
      <c r="B982" s="13" t="n"/>
      <c r="C982" s="12">
        <f>IF(ISNUMBER(B982),YEAR(B982),"")</f>
        <v/>
      </c>
      <c r="D982" s="14" t="n"/>
      <c r="E982" s="14" t="n"/>
      <c r="F982" s="12">
        <f>IF(E982="","",IFERROR(VLOOKUP(E982,LISTAS!$A$2:$C$65,2,FALSE),"Revisar"))</f>
        <v/>
      </c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  <c r="AH982" s="14" t="n"/>
      <c r="AI982" s="14" t="n"/>
      <c r="AJ982" s="14" t="n"/>
      <c r="AK982" s="12">
        <f>IF(COUNTA(B982:B982)+COUNTA(D982:E982)+COUNTA(G982:AJ982)=0,"",IF(COUNTBLANK(B982:B982)+COUNTBLANK(D982:E982)+COUNTBLANK(G982:G982)+COUNTBLANK(O982:AJ982)&gt;0,"Faltan "&amp;(COUNTBLANK(B982:B982)+COUNTBLANK(D982:E982)+COUNTBLANK(G982:G982)+COUNTBLANK(O982:AJ982))&amp;" datos obligatorios",IF(NOT(ISNUMBER(B982)),"Fecha no válida",IF(N(B982)&gt;TODAY(),"Fecha futura",IF(IFERROR(VLOOKUP(E982,LISTAS!$A$2:$C$65,3,FALSE),"")&lt;&gt;D982,"La subregión no corresponde al municipio",IF(IF(L982="",FALSE,OR(L982&lt;0,L982&gt;110)),"Edad fuera de rango",IF((V982="Sí")+(W982="Sí")+(X982="Sí")+(Y982="Sí")=0,"Marque al menos un tipo de violencia","OK")))))))</f>
        <v/>
      </c>
    </row>
    <row r="983">
      <c r="A983" s="12">
        <f>IF(OR(F983="",F983="Revisar",C983=""),"",F983&amp;"-"&amp;C983&amp;"-"&amp;TEXT(COUNTIFS($F$2:F983,F983,$C$2:C983,C983),"0000"))</f>
        <v/>
      </c>
      <c r="B983" s="13" t="n"/>
      <c r="C983" s="12">
        <f>IF(ISNUMBER(B983),YEAR(B983),"")</f>
        <v/>
      </c>
      <c r="D983" s="14" t="n"/>
      <c r="E983" s="14" t="n"/>
      <c r="F983" s="12">
        <f>IF(E983="","",IFERROR(VLOOKUP(E983,LISTAS!$A$2:$C$65,2,FALSE),"Revisar"))</f>
        <v/>
      </c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  <c r="AA983" s="14" t="n"/>
      <c r="AB983" s="14" t="n"/>
      <c r="AC983" s="14" t="n"/>
      <c r="AD983" s="14" t="n"/>
      <c r="AE983" s="14" t="n"/>
      <c r="AF983" s="14" t="n"/>
      <c r="AG983" s="14" t="n"/>
      <c r="AH983" s="14" t="n"/>
      <c r="AI983" s="14" t="n"/>
      <c r="AJ983" s="14" t="n"/>
      <c r="AK983" s="12">
        <f>IF(COUNTA(B983:B983)+COUNTA(D983:E983)+COUNTA(G983:AJ983)=0,"",IF(COUNTBLANK(B983:B983)+COUNTBLANK(D983:E983)+COUNTBLANK(G983:G983)+COUNTBLANK(O983:AJ983)&gt;0,"Faltan "&amp;(COUNTBLANK(B983:B983)+COUNTBLANK(D983:E983)+COUNTBLANK(G983:G983)+COUNTBLANK(O983:AJ983))&amp;" datos obligatorios",IF(NOT(ISNUMBER(B983)),"Fecha no válida",IF(N(B983)&gt;TODAY(),"Fecha futura",IF(IFERROR(VLOOKUP(E983,LISTAS!$A$2:$C$65,3,FALSE),"")&lt;&gt;D983,"La subregión no corresponde al municipio",IF(IF(L983="",FALSE,OR(L983&lt;0,L983&gt;110)),"Edad fuera de rango",IF((V983="Sí")+(W983="Sí")+(X983="Sí")+(Y983="Sí")=0,"Marque al menos un tipo de violencia","OK")))))))</f>
        <v/>
      </c>
    </row>
    <row r="984">
      <c r="A984" s="12">
        <f>IF(OR(F984="",F984="Revisar",C984=""),"",F984&amp;"-"&amp;C984&amp;"-"&amp;TEXT(COUNTIFS($F$2:F984,F984,$C$2:C984,C984),"0000"))</f>
        <v/>
      </c>
      <c r="B984" s="13" t="n"/>
      <c r="C984" s="12">
        <f>IF(ISNUMBER(B984),YEAR(B984),"")</f>
        <v/>
      </c>
      <c r="D984" s="14" t="n"/>
      <c r="E984" s="14" t="n"/>
      <c r="F984" s="12">
        <f>IF(E984="","",IFERROR(VLOOKUP(E984,LISTAS!$A$2:$C$65,2,FALSE),"Revisar"))</f>
        <v/>
      </c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  <c r="AH984" s="14" t="n"/>
      <c r="AI984" s="14" t="n"/>
      <c r="AJ984" s="14" t="n"/>
      <c r="AK984" s="12">
        <f>IF(COUNTA(B984:B984)+COUNTA(D984:E984)+COUNTA(G984:AJ984)=0,"",IF(COUNTBLANK(B984:B984)+COUNTBLANK(D984:E984)+COUNTBLANK(G984:G984)+COUNTBLANK(O984:AJ984)&gt;0,"Faltan "&amp;(COUNTBLANK(B984:B984)+COUNTBLANK(D984:E984)+COUNTBLANK(G984:G984)+COUNTBLANK(O984:AJ984))&amp;" datos obligatorios",IF(NOT(ISNUMBER(B984)),"Fecha no válida",IF(N(B984)&gt;TODAY(),"Fecha futura",IF(IFERROR(VLOOKUP(E984,LISTAS!$A$2:$C$65,3,FALSE),"")&lt;&gt;D984,"La subregión no corresponde al municipio",IF(IF(L984="",FALSE,OR(L984&lt;0,L984&gt;110)),"Edad fuera de rango",IF((V984="Sí")+(W984="Sí")+(X984="Sí")+(Y984="Sí")=0,"Marque al menos un tipo de violencia","OK")))))))</f>
        <v/>
      </c>
    </row>
    <row r="985">
      <c r="A985" s="12">
        <f>IF(OR(F985="",F985="Revisar",C985=""),"",F985&amp;"-"&amp;C985&amp;"-"&amp;TEXT(COUNTIFS($F$2:F985,F985,$C$2:C985,C985),"0000"))</f>
        <v/>
      </c>
      <c r="B985" s="13" t="n"/>
      <c r="C985" s="12">
        <f>IF(ISNUMBER(B985),YEAR(B985),"")</f>
        <v/>
      </c>
      <c r="D985" s="14" t="n"/>
      <c r="E985" s="14" t="n"/>
      <c r="F985" s="12">
        <f>IF(E985="","",IFERROR(VLOOKUP(E985,LISTAS!$A$2:$C$65,2,FALSE),"Revisar"))</f>
        <v/>
      </c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/>
      <c r="AD985" s="14" t="n"/>
      <c r="AE985" s="14" t="n"/>
      <c r="AF985" s="14" t="n"/>
      <c r="AG985" s="14" t="n"/>
      <c r="AH985" s="14" t="n"/>
      <c r="AI985" s="14" t="n"/>
      <c r="AJ985" s="14" t="n"/>
      <c r="AK985" s="12">
        <f>IF(COUNTA(B985:B985)+COUNTA(D985:E985)+COUNTA(G985:AJ985)=0,"",IF(COUNTBLANK(B985:B985)+COUNTBLANK(D985:E985)+COUNTBLANK(G985:G985)+COUNTBLANK(O985:AJ985)&gt;0,"Faltan "&amp;(COUNTBLANK(B985:B985)+COUNTBLANK(D985:E985)+COUNTBLANK(G985:G985)+COUNTBLANK(O985:AJ985))&amp;" datos obligatorios",IF(NOT(ISNUMBER(B985)),"Fecha no válida",IF(N(B985)&gt;TODAY(),"Fecha futura",IF(IFERROR(VLOOKUP(E985,LISTAS!$A$2:$C$65,3,FALSE),"")&lt;&gt;D985,"La subregión no corresponde al municipio",IF(IF(L985="",FALSE,OR(L985&lt;0,L985&gt;110)),"Edad fuera de rango",IF((V985="Sí")+(W985="Sí")+(X985="Sí")+(Y985="Sí")=0,"Marque al menos un tipo de violencia","OK")))))))</f>
        <v/>
      </c>
    </row>
    <row r="986">
      <c r="A986" s="12">
        <f>IF(OR(F986="",F986="Revisar",C986=""),"",F986&amp;"-"&amp;C986&amp;"-"&amp;TEXT(COUNTIFS($F$2:F986,F986,$C$2:C986,C986),"0000"))</f>
        <v/>
      </c>
      <c r="B986" s="13" t="n"/>
      <c r="C986" s="12">
        <f>IF(ISNUMBER(B986),YEAR(B986),"")</f>
        <v/>
      </c>
      <c r="D986" s="14" t="n"/>
      <c r="E986" s="14" t="n"/>
      <c r="F986" s="12">
        <f>IF(E986="","",IFERROR(VLOOKUP(E986,LISTAS!$A$2:$C$65,2,FALSE),"Revisar"))</f>
        <v/>
      </c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  <c r="AH986" s="14" t="n"/>
      <c r="AI986" s="14" t="n"/>
      <c r="AJ986" s="14" t="n"/>
      <c r="AK986" s="12">
        <f>IF(COUNTA(B986:B986)+COUNTA(D986:E986)+COUNTA(G986:AJ986)=0,"",IF(COUNTBLANK(B986:B986)+COUNTBLANK(D986:E986)+COUNTBLANK(G986:G986)+COUNTBLANK(O986:AJ986)&gt;0,"Faltan "&amp;(COUNTBLANK(B986:B986)+COUNTBLANK(D986:E986)+COUNTBLANK(G986:G986)+COUNTBLANK(O986:AJ986))&amp;" datos obligatorios",IF(NOT(ISNUMBER(B986)),"Fecha no válida",IF(N(B986)&gt;TODAY(),"Fecha futura",IF(IFERROR(VLOOKUP(E986,LISTAS!$A$2:$C$65,3,FALSE),"")&lt;&gt;D986,"La subregión no corresponde al municipio",IF(IF(L986="",FALSE,OR(L986&lt;0,L986&gt;110)),"Edad fuera de rango",IF((V986="Sí")+(W986="Sí")+(X986="Sí")+(Y986="Sí")=0,"Marque al menos un tipo de violencia","OK")))))))</f>
        <v/>
      </c>
    </row>
    <row r="987">
      <c r="A987" s="12">
        <f>IF(OR(F987="",F987="Revisar",C987=""),"",F987&amp;"-"&amp;C987&amp;"-"&amp;TEXT(COUNTIFS($F$2:F987,F987,$C$2:C987,C987),"0000"))</f>
        <v/>
      </c>
      <c r="B987" s="13" t="n"/>
      <c r="C987" s="12">
        <f>IF(ISNUMBER(B987),YEAR(B987),"")</f>
        <v/>
      </c>
      <c r="D987" s="14" t="n"/>
      <c r="E987" s="14" t="n"/>
      <c r="F987" s="12">
        <f>IF(E987="","",IFERROR(VLOOKUP(E987,LISTAS!$A$2:$C$65,2,FALSE),"Revisar"))</f>
        <v/>
      </c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  <c r="AA987" s="14" t="n"/>
      <c r="AB987" s="14" t="n"/>
      <c r="AC987" s="14" t="n"/>
      <c r="AD987" s="14" t="n"/>
      <c r="AE987" s="14" t="n"/>
      <c r="AF987" s="14" t="n"/>
      <c r="AG987" s="14" t="n"/>
      <c r="AH987" s="14" t="n"/>
      <c r="AI987" s="14" t="n"/>
      <c r="AJ987" s="14" t="n"/>
      <c r="AK987" s="12">
        <f>IF(COUNTA(B987:B987)+COUNTA(D987:E987)+COUNTA(G987:AJ987)=0,"",IF(COUNTBLANK(B987:B987)+COUNTBLANK(D987:E987)+COUNTBLANK(G987:G987)+COUNTBLANK(O987:AJ987)&gt;0,"Faltan "&amp;(COUNTBLANK(B987:B987)+COUNTBLANK(D987:E987)+COUNTBLANK(G987:G987)+COUNTBLANK(O987:AJ987))&amp;" datos obligatorios",IF(NOT(ISNUMBER(B987)),"Fecha no válida",IF(N(B987)&gt;TODAY(),"Fecha futura",IF(IFERROR(VLOOKUP(E987,LISTAS!$A$2:$C$65,3,FALSE),"")&lt;&gt;D987,"La subregión no corresponde al municipio",IF(IF(L987="",FALSE,OR(L987&lt;0,L987&gt;110)),"Edad fuera de rango",IF((V987="Sí")+(W987="Sí")+(X987="Sí")+(Y987="Sí")=0,"Marque al menos un tipo de violencia","OK")))))))</f>
        <v/>
      </c>
    </row>
    <row r="988">
      <c r="A988" s="12">
        <f>IF(OR(F988="",F988="Revisar",C988=""),"",F988&amp;"-"&amp;C988&amp;"-"&amp;TEXT(COUNTIFS($F$2:F988,F988,$C$2:C988,C988),"0000"))</f>
        <v/>
      </c>
      <c r="B988" s="13" t="n"/>
      <c r="C988" s="12">
        <f>IF(ISNUMBER(B988),YEAR(B988),"")</f>
        <v/>
      </c>
      <c r="D988" s="14" t="n"/>
      <c r="E988" s="14" t="n"/>
      <c r="F988" s="12">
        <f>IF(E988="","",IFERROR(VLOOKUP(E988,LISTAS!$A$2:$C$65,2,FALSE),"Revisar"))</f>
        <v/>
      </c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  <c r="AH988" s="14" t="n"/>
      <c r="AI988" s="14" t="n"/>
      <c r="AJ988" s="14" t="n"/>
      <c r="AK988" s="12">
        <f>IF(COUNTA(B988:B988)+COUNTA(D988:E988)+COUNTA(G988:AJ988)=0,"",IF(COUNTBLANK(B988:B988)+COUNTBLANK(D988:E988)+COUNTBLANK(G988:G988)+COUNTBLANK(O988:AJ988)&gt;0,"Faltan "&amp;(COUNTBLANK(B988:B988)+COUNTBLANK(D988:E988)+COUNTBLANK(G988:G988)+COUNTBLANK(O988:AJ988))&amp;" datos obligatorios",IF(NOT(ISNUMBER(B988)),"Fecha no válida",IF(N(B988)&gt;TODAY(),"Fecha futura",IF(IFERROR(VLOOKUP(E988,LISTAS!$A$2:$C$65,3,FALSE),"")&lt;&gt;D988,"La subregión no corresponde al municipio",IF(IF(L988="",FALSE,OR(L988&lt;0,L988&gt;110)),"Edad fuera de rango",IF((V988="Sí")+(W988="Sí")+(X988="Sí")+(Y988="Sí")=0,"Marque al menos un tipo de violencia","OK")))))))</f>
        <v/>
      </c>
    </row>
    <row r="989">
      <c r="A989" s="12">
        <f>IF(OR(F989="",F989="Revisar",C989=""),"",F989&amp;"-"&amp;C989&amp;"-"&amp;TEXT(COUNTIFS($F$2:F989,F989,$C$2:C989,C989),"0000"))</f>
        <v/>
      </c>
      <c r="B989" s="13" t="n"/>
      <c r="C989" s="12">
        <f>IF(ISNUMBER(B989),YEAR(B989),"")</f>
        <v/>
      </c>
      <c r="D989" s="14" t="n"/>
      <c r="E989" s="14" t="n"/>
      <c r="F989" s="12">
        <f>IF(E989="","",IFERROR(VLOOKUP(E989,LISTAS!$A$2:$C$65,2,FALSE),"Revisar"))</f>
        <v/>
      </c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/>
      <c r="AE989" s="14" t="n"/>
      <c r="AF989" s="14" t="n"/>
      <c r="AG989" s="14" t="n"/>
      <c r="AH989" s="14" t="n"/>
      <c r="AI989" s="14" t="n"/>
      <c r="AJ989" s="14" t="n"/>
      <c r="AK989" s="12">
        <f>IF(COUNTA(B989:B989)+COUNTA(D989:E989)+COUNTA(G989:AJ989)=0,"",IF(COUNTBLANK(B989:B989)+COUNTBLANK(D989:E989)+COUNTBLANK(G989:G989)+COUNTBLANK(O989:AJ989)&gt;0,"Faltan "&amp;(COUNTBLANK(B989:B989)+COUNTBLANK(D989:E989)+COUNTBLANK(G989:G989)+COUNTBLANK(O989:AJ989))&amp;" datos obligatorios",IF(NOT(ISNUMBER(B989)),"Fecha no válida",IF(N(B989)&gt;TODAY(),"Fecha futura",IF(IFERROR(VLOOKUP(E989,LISTAS!$A$2:$C$65,3,FALSE),"")&lt;&gt;D989,"La subregión no corresponde al municipio",IF(IF(L989="",FALSE,OR(L989&lt;0,L989&gt;110)),"Edad fuera de rango",IF((V989="Sí")+(W989="Sí")+(X989="Sí")+(Y989="Sí")=0,"Marque al menos un tipo de violencia","OK")))))))</f>
        <v/>
      </c>
    </row>
    <row r="990">
      <c r="A990" s="12">
        <f>IF(OR(F990="",F990="Revisar",C990=""),"",F990&amp;"-"&amp;C990&amp;"-"&amp;TEXT(COUNTIFS($F$2:F990,F990,$C$2:C990,C990),"0000"))</f>
        <v/>
      </c>
      <c r="B990" s="13" t="n"/>
      <c r="C990" s="12">
        <f>IF(ISNUMBER(B990),YEAR(B990),"")</f>
        <v/>
      </c>
      <c r="D990" s="14" t="n"/>
      <c r="E990" s="14" t="n"/>
      <c r="F990" s="12">
        <f>IF(E990="","",IFERROR(VLOOKUP(E990,LISTAS!$A$2:$C$65,2,FALSE),"Revisar"))</f>
        <v/>
      </c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  <c r="AH990" s="14" t="n"/>
      <c r="AI990" s="14" t="n"/>
      <c r="AJ990" s="14" t="n"/>
      <c r="AK990" s="12">
        <f>IF(COUNTA(B990:B990)+COUNTA(D990:E990)+COUNTA(G990:AJ990)=0,"",IF(COUNTBLANK(B990:B990)+COUNTBLANK(D990:E990)+COUNTBLANK(G990:G990)+COUNTBLANK(O990:AJ990)&gt;0,"Faltan "&amp;(COUNTBLANK(B990:B990)+COUNTBLANK(D990:E990)+COUNTBLANK(G990:G990)+COUNTBLANK(O990:AJ990))&amp;" datos obligatorios",IF(NOT(ISNUMBER(B990)),"Fecha no válida",IF(N(B990)&gt;TODAY(),"Fecha futura",IF(IFERROR(VLOOKUP(E990,LISTAS!$A$2:$C$65,3,FALSE),"")&lt;&gt;D990,"La subregión no corresponde al municipio",IF(IF(L990="",FALSE,OR(L990&lt;0,L990&gt;110)),"Edad fuera de rango",IF((V990="Sí")+(W990="Sí")+(X990="Sí")+(Y990="Sí")=0,"Marque al menos un tipo de violencia","OK")))))))</f>
        <v/>
      </c>
    </row>
    <row r="991">
      <c r="A991" s="12">
        <f>IF(OR(F991="",F991="Revisar",C991=""),"",F991&amp;"-"&amp;C991&amp;"-"&amp;TEXT(COUNTIFS($F$2:F991,F991,$C$2:C991,C991),"0000"))</f>
        <v/>
      </c>
      <c r="B991" s="13" t="n"/>
      <c r="C991" s="12">
        <f>IF(ISNUMBER(B991),YEAR(B991),"")</f>
        <v/>
      </c>
      <c r="D991" s="14" t="n"/>
      <c r="E991" s="14" t="n"/>
      <c r="F991" s="12">
        <f>IF(E991="","",IFERROR(VLOOKUP(E991,LISTAS!$A$2:$C$65,2,FALSE),"Revisar"))</f>
        <v/>
      </c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  <c r="AA991" s="14" t="n"/>
      <c r="AB991" s="14" t="n"/>
      <c r="AC991" s="14" t="n"/>
      <c r="AD991" s="14" t="n"/>
      <c r="AE991" s="14" t="n"/>
      <c r="AF991" s="14" t="n"/>
      <c r="AG991" s="14" t="n"/>
      <c r="AH991" s="14" t="n"/>
      <c r="AI991" s="14" t="n"/>
      <c r="AJ991" s="14" t="n"/>
      <c r="AK991" s="12">
        <f>IF(COUNTA(B991:B991)+COUNTA(D991:E991)+COUNTA(G991:AJ991)=0,"",IF(COUNTBLANK(B991:B991)+COUNTBLANK(D991:E991)+COUNTBLANK(G991:G991)+COUNTBLANK(O991:AJ991)&gt;0,"Faltan "&amp;(COUNTBLANK(B991:B991)+COUNTBLANK(D991:E991)+COUNTBLANK(G991:G991)+COUNTBLANK(O991:AJ991))&amp;" datos obligatorios",IF(NOT(ISNUMBER(B991)),"Fecha no válida",IF(N(B991)&gt;TODAY(),"Fecha futura",IF(IFERROR(VLOOKUP(E991,LISTAS!$A$2:$C$65,3,FALSE),"")&lt;&gt;D991,"La subregión no corresponde al municipio",IF(IF(L991="",FALSE,OR(L991&lt;0,L991&gt;110)),"Edad fuera de rango",IF((V991="Sí")+(W991="Sí")+(X991="Sí")+(Y991="Sí")=0,"Marque al menos un tipo de violencia","OK")))))))</f>
        <v/>
      </c>
    </row>
    <row r="992">
      <c r="A992" s="12">
        <f>IF(OR(F992="",F992="Revisar",C992=""),"",F992&amp;"-"&amp;C992&amp;"-"&amp;TEXT(COUNTIFS($F$2:F992,F992,$C$2:C992,C992),"0000"))</f>
        <v/>
      </c>
      <c r="B992" s="13" t="n"/>
      <c r="C992" s="12">
        <f>IF(ISNUMBER(B992),YEAR(B992),"")</f>
        <v/>
      </c>
      <c r="D992" s="14" t="n"/>
      <c r="E992" s="14" t="n"/>
      <c r="F992" s="12">
        <f>IF(E992="","",IFERROR(VLOOKUP(E992,LISTAS!$A$2:$C$65,2,FALSE),"Revisar"))</f>
        <v/>
      </c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  <c r="AH992" s="14" t="n"/>
      <c r="AI992" s="14" t="n"/>
      <c r="AJ992" s="14" t="n"/>
      <c r="AK992" s="12">
        <f>IF(COUNTA(B992:B992)+COUNTA(D992:E992)+COUNTA(G992:AJ992)=0,"",IF(COUNTBLANK(B992:B992)+COUNTBLANK(D992:E992)+COUNTBLANK(G992:G992)+COUNTBLANK(O992:AJ992)&gt;0,"Faltan "&amp;(COUNTBLANK(B992:B992)+COUNTBLANK(D992:E992)+COUNTBLANK(G992:G992)+COUNTBLANK(O992:AJ992))&amp;" datos obligatorios",IF(NOT(ISNUMBER(B992)),"Fecha no válida",IF(N(B992)&gt;TODAY(),"Fecha futura",IF(IFERROR(VLOOKUP(E992,LISTAS!$A$2:$C$65,3,FALSE),"")&lt;&gt;D992,"La subregión no corresponde al municipio",IF(IF(L992="",FALSE,OR(L992&lt;0,L992&gt;110)),"Edad fuera de rango",IF((V992="Sí")+(W992="Sí")+(X992="Sí")+(Y992="Sí")=0,"Marque al menos un tipo de violencia","OK")))))))</f>
        <v/>
      </c>
    </row>
    <row r="993">
      <c r="A993" s="12">
        <f>IF(OR(F993="",F993="Revisar",C993=""),"",F993&amp;"-"&amp;C993&amp;"-"&amp;TEXT(COUNTIFS($F$2:F993,F993,$C$2:C993,C993),"0000"))</f>
        <v/>
      </c>
      <c r="B993" s="13" t="n"/>
      <c r="C993" s="12">
        <f>IF(ISNUMBER(B993),YEAR(B993),"")</f>
        <v/>
      </c>
      <c r="D993" s="14" t="n"/>
      <c r="E993" s="14" t="n"/>
      <c r="F993" s="12">
        <f>IF(E993="","",IFERROR(VLOOKUP(E993,LISTAS!$A$2:$C$65,2,FALSE),"Revisar"))</f>
        <v/>
      </c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  <c r="AI993" s="14" t="n"/>
      <c r="AJ993" s="14" t="n"/>
      <c r="AK993" s="12">
        <f>IF(COUNTA(B993:B993)+COUNTA(D993:E993)+COUNTA(G993:AJ993)=0,"",IF(COUNTBLANK(B993:B993)+COUNTBLANK(D993:E993)+COUNTBLANK(G993:G993)+COUNTBLANK(O993:AJ993)&gt;0,"Faltan "&amp;(COUNTBLANK(B993:B993)+COUNTBLANK(D993:E993)+COUNTBLANK(G993:G993)+COUNTBLANK(O993:AJ993))&amp;" datos obligatorios",IF(NOT(ISNUMBER(B993)),"Fecha no válida",IF(N(B993)&gt;TODAY(),"Fecha futura",IF(IFERROR(VLOOKUP(E993,LISTAS!$A$2:$C$65,3,FALSE),"")&lt;&gt;D993,"La subregión no corresponde al municipio",IF(IF(L993="",FALSE,OR(L993&lt;0,L993&gt;110)),"Edad fuera de rango",IF((V993="Sí")+(W993="Sí")+(X993="Sí")+(Y993="Sí")=0,"Marque al menos un tipo de violencia","OK")))))))</f>
        <v/>
      </c>
    </row>
    <row r="994">
      <c r="A994" s="12">
        <f>IF(OR(F994="",F994="Revisar",C994=""),"",F994&amp;"-"&amp;C994&amp;"-"&amp;TEXT(COUNTIFS($F$2:F994,F994,$C$2:C994,C994),"0000"))</f>
        <v/>
      </c>
      <c r="B994" s="13" t="n"/>
      <c r="C994" s="12">
        <f>IF(ISNUMBER(B994),YEAR(B994),"")</f>
        <v/>
      </c>
      <c r="D994" s="14" t="n"/>
      <c r="E994" s="14" t="n"/>
      <c r="F994" s="12">
        <f>IF(E994="","",IFERROR(VLOOKUP(E994,LISTAS!$A$2:$C$65,2,FALSE),"Revisar"))</f>
        <v/>
      </c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  <c r="AH994" s="14" t="n"/>
      <c r="AI994" s="14" t="n"/>
      <c r="AJ994" s="14" t="n"/>
      <c r="AK994" s="12">
        <f>IF(COUNTA(B994:B994)+COUNTA(D994:E994)+COUNTA(G994:AJ994)=0,"",IF(COUNTBLANK(B994:B994)+COUNTBLANK(D994:E994)+COUNTBLANK(G994:G994)+COUNTBLANK(O994:AJ994)&gt;0,"Faltan "&amp;(COUNTBLANK(B994:B994)+COUNTBLANK(D994:E994)+COUNTBLANK(G994:G994)+COUNTBLANK(O994:AJ994))&amp;" datos obligatorios",IF(NOT(ISNUMBER(B994)),"Fecha no válida",IF(N(B994)&gt;TODAY(),"Fecha futura",IF(IFERROR(VLOOKUP(E994,LISTAS!$A$2:$C$65,3,FALSE),"")&lt;&gt;D994,"La subregión no corresponde al municipio",IF(IF(L994="",FALSE,OR(L994&lt;0,L994&gt;110)),"Edad fuera de rango",IF((V994="Sí")+(W994="Sí")+(X994="Sí")+(Y994="Sí")=0,"Marque al menos un tipo de violencia","OK")))))))</f>
        <v/>
      </c>
    </row>
    <row r="995">
      <c r="A995" s="12">
        <f>IF(OR(F995="",F995="Revisar",C995=""),"",F995&amp;"-"&amp;C995&amp;"-"&amp;TEXT(COUNTIFS($F$2:F995,F995,$C$2:C995,C995),"0000"))</f>
        <v/>
      </c>
      <c r="B995" s="13" t="n"/>
      <c r="C995" s="12">
        <f>IF(ISNUMBER(B995),YEAR(B995),"")</f>
        <v/>
      </c>
      <c r="D995" s="14" t="n"/>
      <c r="E995" s="14" t="n"/>
      <c r="F995" s="12">
        <f>IF(E995="","",IFERROR(VLOOKUP(E995,LISTAS!$A$2:$C$65,2,FALSE),"Revisar"))</f>
        <v/>
      </c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  <c r="AI995" s="14" t="n"/>
      <c r="AJ995" s="14" t="n"/>
      <c r="AK995" s="12">
        <f>IF(COUNTA(B995:B995)+COUNTA(D995:E995)+COUNTA(G995:AJ995)=0,"",IF(COUNTBLANK(B995:B995)+COUNTBLANK(D995:E995)+COUNTBLANK(G995:G995)+COUNTBLANK(O995:AJ995)&gt;0,"Faltan "&amp;(COUNTBLANK(B995:B995)+COUNTBLANK(D995:E995)+COUNTBLANK(G995:G995)+COUNTBLANK(O995:AJ995))&amp;" datos obligatorios",IF(NOT(ISNUMBER(B995)),"Fecha no válida",IF(N(B995)&gt;TODAY(),"Fecha futura",IF(IFERROR(VLOOKUP(E995,LISTAS!$A$2:$C$65,3,FALSE),"")&lt;&gt;D995,"La subregión no corresponde al municipio",IF(IF(L995="",FALSE,OR(L995&lt;0,L995&gt;110)),"Edad fuera de rango",IF((V995="Sí")+(W995="Sí")+(X995="Sí")+(Y995="Sí")=0,"Marque al menos un tipo de violencia","OK")))))))</f>
        <v/>
      </c>
    </row>
    <row r="996">
      <c r="A996" s="12">
        <f>IF(OR(F996="",F996="Revisar",C996=""),"",F996&amp;"-"&amp;C996&amp;"-"&amp;TEXT(COUNTIFS($F$2:F996,F996,$C$2:C996,C996),"0000"))</f>
        <v/>
      </c>
      <c r="B996" s="13" t="n"/>
      <c r="C996" s="12">
        <f>IF(ISNUMBER(B996),YEAR(B996),"")</f>
        <v/>
      </c>
      <c r="D996" s="14" t="n"/>
      <c r="E996" s="14" t="n"/>
      <c r="F996" s="12">
        <f>IF(E996="","",IFERROR(VLOOKUP(E996,LISTAS!$A$2:$C$65,2,FALSE),"Revisar"))</f>
        <v/>
      </c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/>
      <c r="AI996" s="14" t="n"/>
      <c r="AJ996" s="14" t="n"/>
      <c r="AK996" s="12">
        <f>IF(COUNTA(B996:B996)+COUNTA(D996:E996)+COUNTA(G996:AJ996)=0,"",IF(COUNTBLANK(B996:B996)+COUNTBLANK(D996:E996)+COUNTBLANK(G996:G996)+COUNTBLANK(O996:AJ996)&gt;0,"Faltan "&amp;(COUNTBLANK(B996:B996)+COUNTBLANK(D996:E996)+COUNTBLANK(G996:G996)+COUNTBLANK(O996:AJ996))&amp;" datos obligatorios",IF(NOT(ISNUMBER(B996)),"Fecha no válida",IF(N(B996)&gt;TODAY(),"Fecha futura",IF(IFERROR(VLOOKUP(E996,LISTAS!$A$2:$C$65,3,FALSE),"")&lt;&gt;D996,"La subregión no corresponde al municipio",IF(IF(L996="",FALSE,OR(L996&lt;0,L996&gt;110)),"Edad fuera de rango",IF((V996="Sí")+(W996="Sí")+(X996="Sí")+(Y996="Sí")=0,"Marque al menos un tipo de violencia","OK")))))))</f>
        <v/>
      </c>
    </row>
    <row r="997">
      <c r="A997" s="12">
        <f>IF(OR(F997="",F997="Revisar",C997=""),"",F997&amp;"-"&amp;C997&amp;"-"&amp;TEXT(COUNTIFS($F$2:F997,F997,$C$2:C997,C997),"0000"))</f>
        <v/>
      </c>
      <c r="B997" s="13" t="n"/>
      <c r="C997" s="12">
        <f>IF(ISNUMBER(B997),YEAR(B997),"")</f>
        <v/>
      </c>
      <c r="D997" s="14" t="n"/>
      <c r="E997" s="14" t="n"/>
      <c r="F997" s="12">
        <f>IF(E997="","",IFERROR(VLOOKUP(E997,LISTAS!$A$2:$C$65,2,FALSE),"Revisar"))</f>
        <v/>
      </c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  <c r="AA997" s="14" t="n"/>
      <c r="AB997" s="14" t="n"/>
      <c r="AC997" s="14" t="n"/>
      <c r="AD997" s="14" t="n"/>
      <c r="AE997" s="14" t="n"/>
      <c r="AF997" s="14" t="n"/>
      <c r="AG997" s="14" t="n"/>
      <c r="AH997" s="14" t="n"/>
      <c r="AI997" s="14" t="n"/>
      <c r="AJ997" s="14" t="n"/>
      <c r="AK997" s="12">
        <f>IF(COUNTA(B997:B997)+COUNTA(D997:E997)+COUNTA(G997:AJ997)=0,"",IF(COUNTBLANK(B997:B997)+COUNTBLANK(D997:E997)+COUNTBLANK(G997:G997)+COUNTBLANK(O997:AJ997)&gt;0,"Faltan "&amp;(COUNTBLANK(B997:B997)+COUNTBLANK(D997:E997)+COUNTBLANK(G997:G997)+COUNTBLANK(O997:AJ997))&amp;" datos obligatorios",IF(NOT(ISNUMBER(B997)),"Fecha no válida",IF(N(B997)&gt;TODAY(),"Fecha futura",IF(IFERROR(VLOOKUP(E997,LISTAS!$A$2:$C$65,3,FALSE),"")&lt;&gt;D997,"La subregión no corresponde al municipio",IF(IF(L997="",FALSE,OR(L997&lt;0,L997&gt;110)),"Edad fuera de rango",IF((V997="Sí")+(W997="Sí")+(X997="Sí")+(Y997="Sí")=0,"Marque al menos un tipo de violencia","OK")))))))</f>
        <v/>
      </c>
    </row>
    <row r="998">
      <c r="A998" s="12">
        <f>IF(OR(F998="",F998="Revisar",C998=""),"",F998&amp;"-"&amp;C998&amp;"-"&amp;TEXT(COUNTIFS($F$2:F998,F998,$C$2:C998,C998),"0000"))</f>
        <v/>
      </c>
      <c r="B998" s="13" t="n"/>
      <c r="C998" s="12">
        <f>IF(ISNUMBER(B998),YEAR(B998),"")</f>
        <v/>
      </c>
      <c r="D998" s="14" t="n"/>
      <c r="E998" s="14" t="n"/>
      <c r="F998" s="12">
        <f>IF(E998="","",IFERROR(VLOOKUP(E998,LISTAS!$A$2:$C$65,2,FALSE),"Revisar"))</f>
        <v/>
      </c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  <c r="AH998" s="14" t="n"/>
      <c r="AI998" s="14" t="n"/>
      <c r="AJ998" s="14" t="n"/>
      <c r="AK998" s="12">
        <f>IF(COUNTA(B998:B998)+COUNTA(D998:E998)+COUNTA(G998:AJ998)=0,"",IF(COUNTBLANK(B998:B998)+COUNTBLANK(D998:E998)+COUNTBLANK(G998:G998)+COUNTBLANK(O998:AJ998)&gt;0,"Faltan "&amp;(COUNTBLANK(B998:B998)+COUNTBLANK(D998:E998)+COUNTBLANK(G998:G998)+COUNTBLANK(O998:AJ998))&amp;" datos obligatorios",IF(NOT(ISNUMBER(B998)),"Fecha no válida",IF(N(B998)&gt;TODAY(),"Fecha futura",IF(IFERROR(VLOOKUP(E998,LISTAS!$A$2:$C$65,3,FALSE),"")&lt;&gt;D998,"La subregión no corresponde al municipio",IF(IF(L998="",FALSE,OR(L998&lt;0,L998&gt;110)),"Edad fuera de rango",IF((V998="Sí")+(W998="Sí")+(X998="Sí")+(Y998="Sí")=0,"Marque al menos un tipo de violencia","OK")))))))</f>
        <v/>
      </c>
    </row>
    <row r="999">
      <c r="A999" s="12">
        <f>IF(OR(F999="",F999="Revisar",C999=""),"",F999&amp;"-"&amp;C999&amp;"-"&amp;TEXT(COUNTIFS($F$2:F999,F999,$C$2:C999,C999),"0000"))</f>
        <v/>
      </c>
      <c r="B999" s="13" t="n"/>
      <c r="C999" s="12">
        <f>IF(ISNUMBER(B999),YEAR(B999),"")</f>
        <v/>
      </c>
      <c r="D999" s="14" t="n"/>
      <c r="E999" s="14" t="n"/>
      <c r="F999" s="12">
        <f>IF(E999="","",IFERROR(VLOOKUP(E999,LISTAS!$A$2:$C$65,2,FALSE),"Revisar"))</f>
        <v/>
      </c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  <c r="AI999" s="14" t="n"/>
      <c r="AJ999" s="14" t="n"/>
      <c r="AK999" s="12">
        <f>IF(COUNTA(B999:B999)+COUNTA(D999:E999)+COUNTA(G999:AJ999)=0,"",IF(COUNTBLANK(B999:B999)+COUNTBLANK(D999:E999)+COUNTBLANK(G999:G999)+COUNTBLANK(O999:AJ999)&gt;0,"Faltan "&amp;(COUNTBLANK(B999:B999)+COUNTBLANK(D999:E999)+COUNTBLANK(G999:G999)+COUNTBLANK(O999:AJ999))&amp;" datos obligatorios",IF(NOT(ISNUMBER(B999)),"Fecha no válida",IF(N(B999)&gt;TODAY(),"Fecha futura",IF(IFERROR(VLOOKUP(E999,LISTAS!$A$2:$C$65,3,FALSE),"")&lt;&gt;D999,"La subregión no corresponde al municipio",IF(IF(L999="",FALSE,OR(L999&lt;0,L999&gt;110)),"Edad fuera de rango",IF((V999="Sí")+(W999="Sí")+(X999="Sí")+(Y999="Sí")=0,"Marque al menos un tipo de violencia","OK")))))))</f>
        <v/>
      </c>
    </row>
    <row r="1000">
      <c r="A1000" s="12">
        <f>IF(OR(F1000="",F1000="Revisar",C1000=""),"",F1000&amp;"-"&amp;C1000&amp;"-"&amp;TEXT(COUNTIFS($F$2:F1000,F1000,$C$2:C1000,C1000),"0000"))</f>
        <v/>
      </c>
      <c r="B1000" s="13" t="n"/>
      <c r="C1000" s="12">
        <f>IF(ISNUMBER(B1000),YEAR(B1000),"")</f>
        <v/>
      </c>
      <c r="D1000" s="14" t="n"/>
      <c r="E1000" s="14" t="n"/>
      <c r="F1000" s="12">
        <f>IF(E1000="","",IFERROR(VLOOKUP(E1000,LISTAS!$A$2:$C$65,2,FALSE),"Revisar"))</f>
        <v/>
      </c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2">
        <f>IF(COUNTA(B1000:B1000)+COUNTA(D1000:E1000)+COUNTA(G1000:AJ1000)=0,"",IF(COUNTBLANK(B1000:B1000)+COUNTBLANK(D1000:E1000)+COUNTBLANK(G1000:G1000)+COUNTBLANK(O1000:AJ1000)&gt;0,"Faltan "&amp;(COUNTBLANK(B1000:B1000)+COUNTBLANK(D1000:E1000)+COUNTBLANK(G1000:G1000)+COUNTBLANK(O1000:AJ1000))&amp;" datos obligatorios",IF(NOT(ISNUMBER(B1000)),"Fecha no válida",IF(N(B1000)&gt;TODAY(),"Fecha futura",IF(IFERROR(VLOOKUP(E1000,LISTAS!$A$2:$C$65,3,FALSE),"")&lt;&gt;D1000,"La subregión no corresponde al municipio",IF(IF(L1000="",FALSE,OR(L1000&lt;0,L1000&gt;110)),"Edad fuera de rango",IF((V1000="Sí")+(W1000="Sí")+(X1000="Sí")+(Y1000="Sí")=0,"Marque al menos un tipo de violencia","OK")))))))</f>
        <v/>
      </c>
    </row>
    <row r="1001">
      <c r="A1001" s="12">
        <f>IF(OR(F1001="",F1001="Revisar",C1001=""),"",F1001&amp;"-"&amp;C1001&amp;"-"&amp;TEXT(COUNTIFS($F$2:F1001,F1001,$C$2:C1001,C1001),"0000"))</f>
        <v/>
      </c>
      <c r="B1001" s="13" t="n"/>
      <c r="C1001" s="12">
        <f>IF(ISNUMBER(B1001),YEAR(B1001),"")</f>
        <v/>
      </c>
      <c r="D1001" s="14" t="n"/>
      <c r="E1001" s="14" t="n"/>
      <c r="F1001" s="12">
        <f>IF(E1001="","",IFERROR(VLOOKUP(E1001,LISTAS!$A$2:$C$65,2,FALSE),"Revisar"))</f>
        <v/>
      </c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  <c r="AA1001" s="14" t="n"/>
      <c r="AB1001" s="14" t="n"/>
      <c r="AC1001" s="14" t="n"/>
      <c r="AD1001" s="14" t="n"/>
      <c r="AE1001" s="14" t="n"/>
      <c r="AF1001" s="14" t="n"/>
      <c r="AG1001" s="14" t="n"/>
      <c r="AH1001" s="14" t="n"/>
      <c r="AI1001" s="14" t="n"/>
      <c r="AJ1001" s="14" t="n"/>
      <c r="AK1001" s="12">
        <f>IF(COUNTA(B1001:B1001)+COUNTA(D1001:E1001)+COUNTA(G1001:AJ1001)=0,"",IF(COUNTBLANK(B1001:B1001)+COUNTBLANK(D1001:E1001)+COUNTBLANK(G1001:G1001)+COUNTBLANK(O1001:AJ1001)&gt;0,"Faltan "&amp;(COUNTBLANK(B1001:B1001)+COUNTBLANK(D1001:E1001)+COUNTBLANK(G1001:G1001)+COUNTBLANK(O1001:AJ1001))&amp;" datos obligatorios",IF(NOT(ISNUMBER(B1001)),"Fecha no válida",IF(N(B1001)&gt;TODAY(),"Fecha futura",IF(IFERROR(VLOOKUP(E1001,LISTAS!$A$2:$C$65,3,FALSE),"")&lt;&gt;D1001,"La subregión no corresponde al municipio",IF(IF(L1001="",FALSE,OR(L1001&lt;0,L1001&gt;110)),"Edad fuera de rango",IF((V1001="Sí")+(W1001="Sí")+(X1001="Sí")+(Y1001="Sí")=0,"Marque al menos un tipo de violencia","OK")))))))</f>
        <v/>
      </c>
    </row>
  </sheetData>
  <autoFilter ref="A1:AK1001"/>
  <conditionalFormatting sqref="AK2:AK1001">
    <cfRule type="expression" priority="1" dxfId="0">
      <formula>AND(AK2&lt;&gt;"",AK2&lt;&gt;"OK")</formula>
    </cfRule>
    <cfRule type="expression" priority="2" dxfId="1">
      <formula>AK2="OK"</formula>
    </cfRule>
  </conditionalFormatting>
  <dataValidations count="32">
    <dataValidation sqref="B2:B1001" showDropDown="0" showInputMessage="1" showErrorMessage="1" allowBlank="0" errorTitle="Fecha no válida" error="Escriba una fecha dd/mm/aaaa entre 2024 y hoy." promptTitle="FECHA_ATENCION" prompt="dd/mm/aaaa" type="date" operator="between">
      <formula1>DATE(2024,1,1)</formula1>
      <formula2>TODAY()</formula2>
    </dataValidation>
    <dataValidation sqref="D2:D1001" showDropDown="0" showInputMessage="1" showErrorMessage="1" allowBlank="1" errorTitle="Opción no válida" error="Elija una opción de la lista desplegable." promptTitle="SUBREGION" prompt="Subregión del municipio" type="list">
      <formula1>=LISTAS!$E$2:$E$14</formula1>
    </dataValidation>
    <dataValidation sqref="E2:E1001" showDropDown="0" showInputMessage="1" showErrorMessage="1" allowBlank="1" errorTitle="Opción no válida" error="Elija una opción de la lista desplegable." promptTitle="MUNICIPIO" prompt="Municipio donde ocurrieron los hechos. Escriba la letra inicial para ubicarlo" type="list">
      <formula1>=LISTAS!$F$2:$F$65</formula1>
    </dataValidation>
    <dataValidation sqref="G2:G1001" showDropDown="0" showInputMessage="1" showErrorMessage="1" allowBlank="1" errorTitle="Opción no válida" error="Elija una opción de la lista desplegable." promptTitle="ZONA" prompt="Urbana: cabecera, comuna o barrio. Rural: corregimiento o vereda" type="list">
      <formula1>=LISTAS!$G$2:$G$3</formula1>
    </dataValidation>
    <dataValidation sqref="H2:H1001" showDropDown="0" showInputMessage="1" showErrorMessage="1" allowBlank="1" errorTitle="Nombre fuera de la lista" error="Ese nombre no está en la lista del municipio. Si es correcto, acepte para dejarlo." promptTitle="COMUNA" prompt="Solo zona urbana de Pasto o Tumaco" type="list" errorStyle="information">
      <formula1>=OFFSET(LISTAS!$Q$1,MATCH($E2,LISTAS!$P$2:$P$18,0),0,COUNTIF(LISTAS!$P$2:$P$18,$E2),1)</formula1>
    </dataValidation>
    <dataValidation sqref="I2:I1001" showDropDown="0" showInputMessage="1" showErrorMessage="1" allowBlank="1" errorTitle="Nombre fuera de la lista" error="Ese nombre no está en la lista del municipio. Si es correcto, acepte para dejarlo." promptTitle="BARRIO" prompt="Lista para Pasto; en otros municipios escriba el nombre" type="list" errorStyle="information">
      <formula1>=OFFSET(LISTAS!$T$1,MATCH($E2,LISTAS!$S$2:$S$435,0),0,COUNTIF(LISTAS!$S$2:$S$435,$E2),1)</formula1>
    </dataValidation>
    <dataValidation sqref="J2:J1001" showDropDown="0" showInputMessage="1" showErrorMessage="1" allowBlank="1" errorTitle="Nombre fuera de la lista" error="Ese nombre no está en la lista del municipio. Si es correcto, acepte para dejarlo." promptTitle="CORREGIMIENTO" prompt="Lista de centros poblados del municipio" type="list" errorStyle="information">
      <formula1>=OFFSET(LISTAS!$W$1,MATCH($E2,LISTAS!$V$2:$V$522,0),0,COUNTIF(LISTAS!$V$2:$V$522,$E2),1)</formula1>
    </dataValidation>
    <dataValidation sqref="K2:K1001" showDropDown="0" showInputMessage="1" showErrorMessage="1" allowBlank="1" errorTitle="Nombre fuera de la lista" error="Ese nombre no está en la lista del municipio. Si es correcto, acepte para dejarlo." promptTitle="VEREDA" prompt="Lista de veredas del municipio (DANE)" type="list" errorStyle="information">
      <formula1>=OFFSET(LISTAS!$Z$1,MATCH($E2,LISTAS!$Y$2:$Y$1694,0),0,COUNTIF(LISTAS!$Y$2:$Y$1694,$E2),1)</formula1>
    </dataValidation>
    <dataValidation sqref="L2:L1001" showDropDown="0" showInputMessage="1" showErrorMessage="1" allowBlank="1" error="Edad entre 0 y 110." promptTitle="EDAD" prompt="Vacío si no se conoce" type="whole" operator="between">
      <formula1>0</formula1>
      <formula2>110</formula2>
    </dataValidation>
    <dataValidation sqref="M2:M1001" showDropDown="0" showInputMessage="0" showErrorMessage="1" allowBlank="1" errorTitle="Opción no válida" error="Elija una opción de la lista desplegable." type="list">
      <formula1>=LISTAS!$H$2:$H$4</formula1>
    </dataValidation>
    <dataValidation sqref="O2:O1001" showDropDown="0" showInputMessage="0" showErrorMessage="1" allowBlank="1" errorTitle="Opción no válida" error="Elija una opción de la lista desplegable." type="list">
      <formula1>=LISTAS!$J$2:$J$6</formula1>
    </dataValidation>
    <dataValidation sqref="P2:P1001" showDropDown="0" showInputMessage="0" showErrorMessage="1" allowBlank="1" errorTitle="Opción no válida" error="Elija una opción de la lista desplegable." type="list">
      <formula1>=LISTAS!$K$2:$K$8</formula1>
    </dataValidation>
    <dataValidation sqref="Q2:Q1001" showDropDown="0" showInputMessage="0" showErrorMessage="1" allowBlank="1" errorTitle="Opción no válida" error="Elija una opción de la lista desplegable." type="list">
      <formula1>=LISTAS!$L$2:$L$7</formula1>
    </dataValidation>
    <dataValidation sqref="R2:R1001" showDropDown="0" showInputMessage="0" showErrorMessage="1" allowBlank="1" errorTitle="Opción no válida" error="Elija una opción de la lista desplegable." type="list">
      <formula1>=LISTAS!$I$2:$I$3</formula1>
    </dataValidation>
    <dataValidation sqref="S2:S1001" showDropDown="0" showInputMessage="0" showErrorMessage="1" allowBlank="1" errorTitle="Opción no válida" error="Elija una opción de la lista desplegable." type="list">
      <formula1>=LISTAS!$I$2:$I$3</formula1>
    </dataValidation>
    <dataValidation sqref="T2:T1001" showDropDown="0" showInputMessage="0" showErrorMessage="1" allowBlank="1" errorTitle="Opción no válida" error="Elija una opción de la lista desplegable." type="list">
      <formula1>=LISTAS!$I$2:$I$3</formula1>
    </dataValidation>
    <dataValidation sqref="U2:U1001" showDropDown="0" showInputMessage="0" showErrorMessage="1" allowBlank="1" errorTitle="Opción no válida" error="Elija una opción de la lista desplegable." type="list">
      <formula1>=LISTAS!$I$2:$I$3</formula1>
    </dataValidation>
    <dataValidation sqref="V2:V1001" showDropDown="0" showInputMessage="0" showErrorMessage="1" allowBlank="1" errorTitle="Opción no válida" error="Elija una opción de la lista desplegable." type="list">
      <formula1>=LISTAS!$I$2:$I$3</formula1>
    </dataValidation>
    <dataValidation sqref="W2:W1001" showDropDown="0" showInputMessage="0" showErrorMessage="1" allowBlank="1" errorTitle="Opción no válida" error="Elija una opción de la lista desplegable." type="list">
      <formula1>=LISTAS!$I$2:$I$3</formula1>
    </dataValidation>
    <dataValidation sqref="X2:X1001" showDropDown="0" showInputMessage="0" showErrorMessage="1" allowBlank="1" errorTitle="Opción no válida" error="Elija una opción de la lista desplegable." type="list">
      <formula1>=LISTAS!$I$2:$I$3</formula1>
    </dataValidation>
    <dataValidation sqref="Y2:Y1001" showDropDown="0" showInputMessage="0" showErrorMessage="1" allowBlank="1" errorTitle="Opción no válida" error="Elija una opción de la lista desplegable." type="list">
      <formula1>=LISTAS!$I$2:$I$3</formula1>
    </dataValidation>
    <dataValidation sqref="Z2:Z1001" showDropDown="0" showInputMessage="0" showErrorMessage="1" allowBlank="1" errorTitle="Opción no válida" error="Elija una opción de la lista desplegable." type="list">
      <formula1>=LISTAS!$I$2:$I$3</formula1>
    </dataValidation>
    <dataValidation sqref="AA2:AA1001" showDropDown="0" showInputMessage="0" showErrorMessage="1" allowBlank="1" errorTitle="Opción no válida" error="Elija una opción de la lista desplegable." type="list">
      <formula1>=LISTAS!$I$2:$I$3</formula1>
    </dataValidation>
    <dataValidation sqref="AB2:AB1001" showDropDown="0" showInputMessage="0" showErrorMessage="1" allowBlank="1" errorTitle="Opción no válida" error="Elija una opción de la lista desplegable." type="list">
      <formula1>=LISTAS!$M$2:$M$12</formula1>
    </dataValidation>
    <dataValidation sqref="AC2:AC1001" showDropDown="0" showInputMessage="1" showErrorMessage="1" allowBlank="1" errorTitle="Opción no válida" error="Elija una opción de la lista desplegable." promptTitle="AGRESOR" prompt="Relación de la persona agresora con la víctima" type="list">
      <formula1>=LISTAS!$N$2:$N$14</formula1>
    </dataValidation>
    <dataValidation sqref="AD2:AD1001" showDropDown="0" showInputMessage="1" showErrorMessage="1" allowBlank="1" errorTitle="Opción no válida" error="Elija una opción de la lista desplegable." promptTitle="REM_COMISARIA" prompt="Remisión a Comisaría de Familia" type="list">
      <formula1>=LISTAS!$I$2:$I$3</formula1>
    </dataValidation>
    <dataValidation sqref="AE2:AE1001" showDropDown="0" showInputMessage="0" showErrorMessage="1" allowBlank="1" errorTitle="Opción no válida" error="Elija una opción de la lista desplegable." type="list">
      <formula1>=LISTAS!$I$2:$I$3</formula1>
    </dataValidation>
    <dataValidation sqref="AF2:AF1001" showDropDown="0" showInputMessage="0" showErrorMessage="1" allowBlank="1" errorTitle="Opción no válida" error="Elija una opción de la lista desplegable." type="list">
      <formula1>=LISTAS!$I$2:$I$3</formula1>
    </dataValidation>
    <dataValidation sqref="AG2:AG1001" showDropDown="0" showInputMessage="0" showErrorMessage="1" allowBlank="1" errorTitle="Opción no válida" error="Elija una opción de la lista desplegable." type="list">
      <formula1>=LISTAS!$I$2:$I$3</formula1>
    </dataValidation>
    <dataValidation sqref="AH2:AH1001" showDropDown="0" showInputMessage="0" showErrorMessage="1" allowBlank="1" errorTitle="Opción no válida" error="Elija una opción de la lista desplegable." type="list">
      <formula1>=LISTAS!$I$2:$I$3</formula1>
    </dataValidation>
    <dataValidation sqref="AI2:AI1001" showDropDown="0" showInputMessage="0" showErrorMessage="1" allowBlank="1" errorTitle="Opción no válida" error="Elija una opción de la lista desplegable." type="list">
      <formula1>=LISTAS!$I$2:$I$3</formula1>
    </dataValidation>
    <dataValidation sqref="AJ2:AJ1001" showDropDown="0" showInputMessage="0" showErrorMessage="1" allowBlank="1" errorTitle="Opción no válida" error="Elija una opción de la lista desplegable." type="list">
      <formula1>=LISTAS!$I$2:$I$3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12" customWidth="1" min="4" max="4"/>
    <col width="20" customWidth="1" min="5" max="5"/>
  </cols>
  <sheetData>
    <row r="1">
      <c r="A1" s="1" t="inlineStr">
        <is>
          <t>Resumen automático de la matriz</t>
        </is>
      </c>
    </row>
    <row r="3">
      <c r="A3" s="15" t="inlineStr">
        <is>
          <t>Atenciones registradas</t>
        </is>
      </c>
      <c r="B3" s="16">
        <f>COUNTIF(MATRIZ!$AK$2:$AK$1001,"?*")</f>
        <v/>
      </c>
    </row>
    <row r="4">
      <c r="A4" s="15" t="inlineStr">
        <is>
          <t>Filas con «OK»</t>
        </is>
      </c>
      <c r="B4" s="16">
        <f>COUNTIF(MATRIZ!$AK$2:$AK$1001,"OK")</f>
        <v/>
      </c>
    </row>
    <row r="5">
      <c r="A5" s="15" t="inlineStr">
        <is>
          <t>Filas por corregir</t>
        </is>
      </c>
      <c r="B5" s="16">
        <f>B3-B4</f>
        <v/>
      </c>
    </row>
    <row r="7">
      <c r="A7" s="15" t="inlineStr">
        <is>
          <t>Violencia psicológica</t>
        </is>
      </c>
      <c r="B7" s="16">
        <f>COUNTIF(MATRIZ!$V$2:$V$1001,"Sí")</f>
        <v/>
      </c>
    </row>
    <row r="8">
      <c r="A8" s="15" t="inlineStr">
        <is>
          <t>Violencia física</t>
        </is>
      </c>
      <c r="B8" s="16">
        <f>COUNTIF(MATRIZ!$W$2:$W$1001,"Sí")</f>
        <v/>
      </c>
    </row>
    <row r="9">
      <c r="A9" s="15" t="inlineStr">
        <is>
          <t>Violencia sexual</t>
        </is>
      </c>
      <c r="B9" s="16">
        <f>COUNTIF(MATRIZ!$X$2:$X$1001,"Sí")</f>
        <v/>
      </c>
    </row>
    <row r="10">
      <c r="A10" s="15" t="inlineStr">
        <is>
          <t>Violencia económica</t>
        </is>
      </c>
      <c r="B10" s="16">
        <f>COUNTIF(MATRIZ!$Y$2:$Y$1001,"Sí")</f>
        <v/>
      </c>
    </row>
    <row r="11">
      <c r="A11" s="15" t="inlineStr">
        <is>
          <t>Intento de feminicidio</t>
        </is>
      </c>
      <c r="B11" s="16">
        <f>COUNTIF(MATRIZ!$Z$2:$Z$1001,"Sí")</f>
        <v/>
      </c>
    </row>
    <row r="12">
      <c r="A12" s="15" t="inlineStr">
        <is>
          <t>Feminicidio</t>
        </is>
      </c>
      <c r="B12" s="16">
        <f>COUNTIF(MATRIZ!$AA$2:$AA$1001,"Sí")</f>
        <v/>
      </c>
    </row>
    <row r="14">
      <c r="A14" s="15" t="inlineStr">
        <is>
          <t>Remisión Comisaría</t>
        </is>
      </c>
      <c r="B14" s="16">
        <f>COUNTIF(MATRIZ!$AD$2:$AD$1001,"Sí")</f>
        <v/>
      </c>
    </row>
    <row r="15">
      <c r="A15" s="15" t="inlineStr">
        <is>
          <t>Remisión Fiscalía</t>
        </is>
      </c>
      <c r="B15" s="16">
        <f>COUNTIF(MATRIZ!$AE$2:$AE$1001,"Sí")</f>
        <v/>
      </c>
    </row>
    <row r="16">
      <c r="A16" s="15" t="inlineStr">
        <is>
          <t>Remisión Salud</t>
        </is>
      </c>
      <c r="B16" s="16">
        <f>COUNTIF(MATRIZ!$AF$2:$AF$1001,"Sí")</f>
        <v/>
      </c>
    </row>
    <row r="17">
      <c r="A17" s="15" t="inlineStr">
        <is>
          <t>Remisión Policía</t>
        </is>
      </c>
      <c r="B17" s="16">
        <f>COUNTIF(MATRIZ!$AG$2:$AG$1001,"Sí")</f>
        <v/>
      </c>
    </row>
    <row r="18">
      <c r="A18" s="15" t="inlineStr">
        <is>
          <t>Remisión Defensoría</t>
        </is>
      </c>
      <c r="B18" s="16">
        <f>COUNTIF(MATRIZ!$AH$2:$AH$1001,"Sí")</f>
        <v/>
      </c>
    </row>
    <row r="19">
      <c r="A19" s="15" t="inlineStr">
        <is>
          <t>Remisión ICBF</t>
        </is>
      </c>
      <c r="B19" s="16">
        <f>COUNTIF(MATRIZ!$AI$2:$AI$1001,"Sí")</f>
        <v/>
      </c>
    </row>
    <row r="21">
      <c r="A21" s="5" t="inlineStr">
        <is>
          <t>Atenciones por municipio</t>
        </is>
      </c>
    </row>
    <row r="22">
      <c r="A22" s="6" t="inlineStr">
        <is>
          <t>Municipio</t>
        </is>
      </c>
      <c r="B22" s="6" t="inlineStr">
        <is>
          <t>Código DANE</t>
        </is>
      </c>
      <c r="C22" s="6" t="inlineStr">
        <is>
          <t>Subregión</t>
        </is>
      </c>
      <c r="D22" s="6" t="inlineStr">
        <is>
          <t>Atenciones</t>
        </is>
      </c>
      <c r="E22" s="6" t="inlineStr">
        <is>
          <t>Último código</t>
        </is>
      </c>
    </row>
    <row r="23">
      <c r="A23" s="15">
        <f>LISTAS!A2</f>
        <v/>
      </c>
      <c r="B23" s="15">
        <f>LISTAS!B2</f>
        <v/>
      </c>
      <c r="C23" s="15">
        <f>LISTAS!C2</f>
        <v/>
      </c>
      <c r="D23" s="15">
        <f>COUNTIF(MATRIZ!$E$2:$E$1001,A23)</f>
        <v/>
      </c>
      <c r="E23" s="15">
        <f>IF(D23=0,"",LOOKUP(2,1/(MATRIZ!$F$2:$F$1001=B23),MATRIZ!$A$2:$A$1001))</f>
        <v/>
      </c>
    </row>
    <row r="24">
      <c r="A24" s="15">
        <f>LISTAS!A3</f>
        <v/>
      </c>
      <c r="B24" s="15">
        <f>LISTAS!B3</f>
        <v/>
      </c>
      <c r="C24" s="15">
        <f>LISTAS!C3</f>
        <v/>
      </c>
      <c r="D24" s="15">
        <f>COUNTIF(MATRIZ!$E$2:$E$1001,A24)</f>
        <v/>
      </c>
      <c r="E24" s="15">
        <f>IF(D24=0,"",LOOKUP(2,1/(MATRIZ!$F$2:$F$1001=B24),MATRIZ!$A$2:$A$1001))</f>
        <v/>
      </c>
    </row>
    <row r="25">
      <c r="A25" s="15">
        <f>LISTAS!A4</f>
        <v/>
      </c>
      <c r="B25" s="15">
        <f>LISTAS!B4</f>
        <v/>
      </c>
      <c r="C25" s="15">
        <f>LISTAS!C4</f>
        <v/>
      </c>
      <c r="D25" s="15">
        <f>COUNTIF(MATRIZ!$E$2:$E$1001,A25)</f>
        <v/>
      </c>
      <c r="E25" s="15">
        <f>IF(D25=0,"",LOOKUP(2,1/(MATRIZ!$F$2:$F$1001=B25),MATRIZ!$A$2:$A$1001))</f>
        <v/>
      </c>
    </row>
    <row r="26">
      <c r="A26" s="15">
        <f>LISTAS!A5</f>
        <v/>
      </c>
      <c r="B26" s="15">
        <f>LISTAS!B5</f>
        <v/>
      </c>
      <c r="C26" s="15">
        <f>LISTAS!C5</f>
        <v/>
      </c>
      <c r="D26" s="15">
        <f>COUNTIF(MATRIZ!$E$2:$E$1001,A26)</f>
        <v/>
      </c>
      <c r="E26" s="15">
        <f>IF(D26=0,"",LOOKUP(2,1/(MATRIZ!$F$2:$F$1001=B26),MATRIZ!$A$2:$A$1001))</f>
        <v/>
      </c>
    </row>
    <row r="27">
      <c r="A27" s="15">
        <f>LISTAS!A6</f>
        <v/>
      </c>
      <c r="B27" s="15">
        <f>LISTAS!B6</f>
        <v/>
      </c>
      <c r="C27" s="15">
        <f>LISTAS!C6</f>
        <v/>
      </c>
      <c r="D27" s="15">
        <f>COUNTIF(MATRIZ!$E$2:$E$1001,A27)</f>
        <v/>
      </c>
      <c r="E27" s="15">
        <f>IF(D27=0,"",LOOKUP(2,1/(MATRIZ!$F$2:$F$1001=B27),MATRIZ!$A$2:$A$1001))</f>
        <v/>
      </c>
    </row>
    <row r="28">
      <c r="A28" s="15">
        <f>LISTAS!A7</f>
        <v/>
      </c>
      <c r="B28" s="15">
        <f>LISTAS!B7</f>
        <v/>
      </c>
      <c r="C28" s="15">
        <f>LISTAS!C7</f>
        <v/>
      </c>
      <c r="D28" s="15">
        <f>COUNTIF(MATRIZ!$E$2:$E$1001,A28)</f>
        <v/>
      </c>
      <c r="E28" s="15">
        <f>IF(D28=0,"",LOOKUP(2,1/(MATRIZ!$F$2:$F$1001=B28),MATRIZ!$A$2:$A$1001))</f>
        <v/>
      </c>
    </row>
    <row r="29">
      <c r="A29" s="15">
        <f>LISTAS!A8</f>
        <v/>
      </c>
      <c r="B29" s="15">
        <f>LISTAS!B8</f>
        <v/>
      </c>
      <c r="C29" s="15">
        <f>LISTAS!C8</f>
        <v/>
      </c>
      <c r="D29" s="15">
        <f>COUNTIF(MATRIZ!$E$2:$E$1001,A29)</f>
        <v/>
      </c>
      <c r="E29" s="15">
        <f>IF(D29=0,"",LOOKUP(2,1/(MATRIZ!$F$2:$F$1001=B29),MATRIZ!$A$2:$A$1001))</f>
        <v/>
      </c>
    </row>
    <row r="30">
      <c r="A30" s="15">
        <f>LISTAS!A9</f>
        <v/>
      </c>
      <c r="B30" s="15">
        <f>LISTAS!B9</f>
        <v/>
      </c>
      <c r="C30" s="15">
        <f>LISTAS!C9</f>
        <v/>
      </c>
      <c r="D30" s="15">
        <f>COUNTIF(MATRIZ!$E$2:$E$1001,A30)</f>
        <v/>
      </c>
      <c r="E30" s="15">
        <f>IF(D30=0,"",LOOKUP(2,1/(MATRIZ!$F$2:$F$1001=B30),MATRIZ!$A$2:$A$1001))</f>
        <v/>
      </c>
    </row>
    <row r="31">
      <c r="A31" s="15">
        <f>LISTAS!A10</f>
        <v/>
      </c>
      <c r="B31" s="15">
        <f>LISTAS!B10</f>
        <v/>
      </c>
      <c r="C31" s="15">
        <f>LISTAS!C10</f>
        <v/>
      </c>
      <c r="D31" s="15">
        <f>COUNTIF(MATRIZ!$E$2:$E$1001,A31)</f>
        <v/>
      </c>
      <c r="E31" s="15">
        <f>IF(D31=0,"",LOOKUP(2,1/(MATRIZ!$F$2:$F$1001=B31),MATRIZ!$A$2:$A$1001))</f>
        <v/>
      </c>
    </row>
    <row r="32">
      <c r="A32" s="15">
        <f>LISTAS!A11</f>
        <v/>
      </c>
      <c r="B32" s="15">
        <f>LISTAS!B11</f>
        <v/>
      </c>
      <c r="C32" s="15">
        <f>LISTAS!C11</f>
        <v/>
      </c>
      <c r="D32" s="15">
        <f>COUNTIF(MATRIZ!$E$2:$E$1001,A32)</f>
        <v/>
      </c>
      <c r="E32" s="15">
        <f>IF(D32=0,"",LOOKUP(2,1/(MATRIZ!$F$2:$F$1001=B32),MATRIZ!$A$2:$A$1001))</f>
        <v/>
      </c>
    </row>
    <row r="33">
      <c r="A33" s="15">
        <f>LISTAS!A12</f>
        <v/>
      </c>
      <c r="B33" s="15">
        <f>LISTAS!B12</f>
        <v/>
      </c>
      <c r="C33" s="15">
        <f>LISTAS!C12</f>
        <v/>
      </c>
      <c r="D33" s="15">
        <f>COUNTIF(MATRIZ!$E$2:$E$1001,A33)</f>
        <v/>
      </c>
      <c r="E33" s="15">
        <f>IF(D33=0,"",LOOKUP(2,1/(MATRIZ!$F$2:$F$1001=B33),MATRIZ!$A$2:$A$1001))</f>
        <v/>
      </c>
    </row>
    <row r="34">
      <c r="A34" s="15">
        <f>LISTAS!A13</f>
        <v/>
      </c>
      <c r="B34" s="15">
        <f>LISTAS!B13</f>
        <v/>
      </c>
      <c r="C34" s="15">
        <f>LISTAS!C13</f>
        <v/>
      </c>
      <c r="D34" s="15">
        <f>COUNTIF(MATRIZ!$E$2:$E$1001,A34)</f>
        <v/>
      </c>
      <c r="E34" s="15">
        <f>IF(D34=0,"",LOOKUP(2,1/(MATRIZ!$F$2:$F$1001=B34),MATRIZ!$A$2:$A$1001))</f>
        <v/>
      </c>
    </row>
    <row r="35">
      <c r="A35" s="15">
        <f>LISTAS!A14</f>
        <v/>
      </c>
      <c r="B35" s="15">
        <f>LISTAS!B14</f>
        <v/>
      </c>
      <c r="C35" s="15">
        <f>LISTAS!C14</f>
        <v/>
      </c>
      <c r="D35" s="15">
        <f>COUNTIF(MATRIZ!$E$2:$E$1001,A35)</f>
        <v/>
      </c>
      <c r="E35" s="15">
        <f>IF(D35=0,"",LOOKUP(2,1/(MATRIZ!$F$2:$F$1001=B35),MATRIZ!$A$2:$A$1001))</f>
        <v/>
      </c>
    </row>
    <row r="36">
      <c r="A36" s="15">
        <f>LISTAS!A15</f>
        <v/>
      </c>
      <c r="B36" s="15">
        <f>LISTAS!B15</f>
        <v/>
      </c>
      <c r="C36" s="15">
        <f>LISTAS!C15</f>
        <v/>
      </c>
      <c r="D36" s="15">
        <f>COUNTIF(MATRIZ!$E$2:$E$1001,A36)</f>
        <v/>
      </c>
      <c r="E36" s="15">
        <f>IF(D36=0,"",LOOKUP(2,1/(MATRIZ!$F$2:$F$1001=B36),MATRIZ!$A$2:$A$1001))</f>
        <v/>
      </c>
    </row>
    <row r="37">
      <c r="A37" s="15">
        <f>LISTAS!A16</f>
        <v/>
      </c>
      <c r="B37" s="15">
        <f>LISTAS!B16</f>
        <v/>
      </c>
      <c r="C37" s="15">
        <f>LISTAS!C16</f>
        <v/>
      </c>
      <c r="D37" s="15">
        <f>COUNTIF(MATRIZ!$E$2:$E$1001,A37)</f>
        <v/>
      </c>
      <c r="E37" s="15">
        <f>IF(D37=0,"",LOOKUP(2,1/(MATRIZ!$F$2:$F$1001=B37),MATRIZ!$A$2:$A$1001))</f>
        <v/>
      </c>
    </row>
    <row r="38">
      <c r="A38" s="15">
        <f>LISTAS!A17</f>
        <v/>
      </c>
      <c r="B38" s="15">
        <f>LISTAS!B17</f>
        <v/>
      </c>
      <c r="C38" s="15">
        <f>LISTAS!C17</f>
        <v/>
      </c>
      <c r="D38" s="15">
        <f>COUNTIF(MATRIZ!$E$2:$E$1001,A38)</f>
        <v/>
      </c>
      <c r="E38" s="15">
        <f>IF(D38=0,"",LOOKUP(2,1/(MATRIZ!$F$2:$F$1001=B38),MATRIZ!$A$2:$A$1001))</f>
        <v/>
      </c>
    </row>
    <row r="39">
      <c r="A39" s="15">
        <f>LISTAS!A18</f>
        <v/>
      </c>
      <c r="B39" s="15">
        <f>LISTAS!B18</f>
        <v/>
      </c>
      <c r="C39" s="15">
        <f>LISTAS!C18</f>
        <v/>
      </c>
      <c r="D39" s="15">
        <f>COUNTIF(MATRIZ!$E$2:$E$1001,A39)</f>
        <v/>
      </c>
      <c r="E39" s="15">
        <f>IF(D39=0,"",LOOKUP(2,1/(MATRIZ!$F$2:$F$1001=B39),MATRIZ!$A$2:$A$1001))</f>
        <v/>
      </c>
    </row>
    <row r="40">
      <c r="A40" s="15">
        <f>LISTAS!A19</f>
        <v/>
      </c>
      <c r="B40" s="15">
        <f>LISTAS!B19</f>
        <v/>
      </c>
      <c r="C40" s="15">
        <f>LISTAS!C19</f>
        <v/>
      </c>
      <c r="D40" s="15">
        <f>COUNTIF(MATRIZ!$E$2:$E$1001,A40)</f>
        <v/>
      </c>
      <c r="E40" s="15">
        <f>IF(D40=0,"",LOOKUP(2,1/(MATRIZ!$F$2:$F$1001=B40),MATRIZ!$A$2:$A$1001))</f>
        <v/>
      </c>
    </row>
    <row r="41">
      <c r="A41" s="15">
        <f>LISTAS!A20</f>
        <v/>
      </c>
      <c r="B41" s="15">
        <f>LISTAS!B20</f>
        <v/>
      </c>
      <c r="C41" s="15">
        <f>LISTAS!C20</f>
        <v/>
      </c>
      <c r="D41" s="15">
        <f>COUNTIF(MATRIZ!$E$2:$E$1001,A41)</f>
        <v/>
      </c>
      <c r="E41" s="15">
        <f>IF(D41=0,"",LOOKUP(2,1/(MATRIZ!$F$2:$F$1001=B41),MATRIZ!$A$2:$A$1001))</f>
        <v/>
      </c>
    </row>
    <row r="42">
      <c r="A42" s="15">
        <f>LISTAS!A21</f>
        <v/>
      </c>
      <c r="B42" s="15">
        <f>LISTAS!B21</f>
        <v/>
      </c>
      <c r="C42" s="15">
        <f>LISTAS!C21</f>
        <v/>
      </c>
      <c r="D42" s="15">
        <f>COUNTIF(MATRIZ!$E$2:$E$1001,A42)</f>
        <v/>
      </c>
      <c r="E42" s="15">
        <f>IF(D42=0,"",LOOKUP(2,1/(MATRIZ!$F$2:$F$1001=B42),MATRIZ!$A$2:$A$1001))</f>
        <v/>
      </c>
    </row>
    <row r="43">
      <c r="A43" s="15">
        <f>LISTAS!A22</f>
        <v/>
      </c>
      <c r="B43" s="15">
        <f>LISTAS!B22</f>
        <v/>
      </c>
      <c r="C43" s="15">
        <f>LISTAS!C22</f>
        <v/>
      </c>
      <c r="D43" s="15">
        <f>COUNTIF(MATRIZ!$E$2:$E$1001,A43)</f>
        <v/>
      </c>
      <c r="E43" s="15">
        <f>IF(D43=0,"",LOOKUP(2,1/(MATRIZ!$F$2:$F$1001=B43),MATRIZ!$A$2:$A$1001))</f>
        <v/>
      </c>
    </row>
    <row r="44">
      <c r="A44" s="15">
        <f>LISTAS!A23</f>
        <v/>
      </c>
      <c r="B44" s="15">
        <f>LISTAS!B23</f>
        <v/>
      </c>
      <c r="C44" s="15">
        <f>LISTAS!C23</f>
        <v/>
      </c>
      <c r="D44" s="15">
        <f>COUNTIF(MATRIZ!$E$2:$E$1001,A44)</f>
        <v/>
      </c>
      <c r="E44" s="15">
        <f>IF(D44=0,"",LOOKUP(2,1/(MATRIZ!$F$2:$F$1001=B44),MATRIZ!$A$2:$A$1001))</f>
        <v/>
      </c>
    </row>
    <row r="45">
      <c r="A45" s="15">
        <f>LISTAS!A24</f>
        <v/>
      </c>
      <c r="B45" s="15">
        <f>LISTAS!B24</f>
        <v/>
      </c>
      <c r="C45" s="15">
        <f>LISTAS!C24</f>
        <v/>
      </c>
      <c r="D45" s="15">
        <f>COUNTIF(MATRIZ!$E$2:$E$1001,A45)</f>
        <v/>
      </c>
      <c r="E45" s="15">
        <f>IF(D45=0,"",LOOKUP(2,1/(MATRIZ!$F$2:$F$1001=B45),MATRIZ!$A$2:$A$1001))</f>
        <v/>
      </c>
    </row>
    <row r="46">
      <c r="A46" s="15">
        <f>LISTAS!A25</f>
        <v/>
      </c>
      <c r="B46" s="15">
        <f>LISTAS!B25</f>
        <v/>
      </c>
      <c r="C46" s="15">
        <f>LISTAS!C25</f>
        <v/>
      </c>
      <c r="D46" s="15">
        <f>COUNTIF(MATRIZ!$E$2:$E$1001,A46)</f>
        <v/>
      </c>
      <c r="E46" s="15">
        <f>IF(D46=0,"",LOOKUP(2,1/(MATRIZ!$F$2:$F$1001=B46),MATRIZ!$A$2:$A$1001))</f>
        <v/>
      </c>
    </row>
    <row r="47">
      <c r="A47" s="15">
        <f>LISTAS!A26</f>
        <v/>
      </c>
      <c r="B47" s="15">
        <f>LISTAS!B26</f>
        <v/>
      </c>
      <c r="C47" s="15">
        <f>LISTAS!C26</f>
        <v/>
      </c>
      <c r="D47" s="15">
        <f>COUNTIF(MATRIZ!$E$2:$E$1001,A47)</f>
        <v/>
      </c>
      <c r="E47" s="15">
        <f>IF(D47=0,"",LOOKUP(2,1/(MATRIZ!$F$2:$F$1001=B47),MATRIZ!$A$2:$A$1001))</f>
        <v/>
      </c>
    </row>
    <row r="48">
      <c r="A48" s="15">
        <f>LISTAS!A27</f>
        <v/>
      </c>
      <c r="B48" s="15">
        <f>LISTAS!B27</f>
        <v/>
      </c>
      <c r="C48" s="15">
        <f>LISTAS!C27</f>
        <v/>
      </c>
      <c r="D48" s="15">
        <f>COUNTIF(MATRIZ!$E$2:$E$1001,A48)</f>
        <v/>
      </c>
      <c r="E48" s="15">
        <f>IF(D48=0,"",LOOKUP(2,1/(MATRIZ!$F$2:$F$1001=B48),MATRIZ!$A$2:$A$1001))</f>
        <v/>
      </c>
    </row>
    <row r="49">
      <c r="A49" s="15">
        <f>LISTAS!A28</f>
        <v/>
      </c>
      <c r="B49" s="15">
        <f>LISTAS!B28</f>
        <v/>
      </c>
      <c r="C49" s="15">
        <f>LISTAS!C28</f>
        <v/>
      </c>
      <c r="D49" s="15">
        <f>COUNTIF(MATRIZ!$E$2:$E$1001,A49)</f>
        <v/>
      </c>
      <c r="E49" s="15">
        <f>IF(D49=0,"",LOOKUP(2,1/(MATRIZ!$F$2:$F$1001=B49),MATRIZ!$A$2:$A$1001))</f>
        <v/>
      </c>
    </row>
    <row r="50">
      <c r="A50" s="15">
        <f>LISTAS!A29</f>
        <v/>
      </c>
      <c r="B50" s="15">
        <f>LISTAS!B29</f>
        <v/>
      </c>
      <c r="C50" s="15">
        <f>LISTAS!C29</f>
        <v/>
      </c>
      <c r="D50" s="15">
        <f>COUNTIF(MATRIZ!$E$2:$E$1001,A50)</f>
        <v/>
      </c>
      <c r="E50" s="15">
        <f>IF(D50=0,"",LOOKUP(2,1/(MATRIZ!$F$2:$F$1001=B50),MATRIZ!$A$2:$A$1001))</f>
        <v/>
      </c>
    </row>
    <row r="51">
      <c r="A51" s="15">
        <f>LISTAS!A30</f>
        <v/>
      </c>
      <c r="B51" s="15">
        <f>LISTAS!B30</f>
        <v/>
      </c>
      <c r="C51" s="15">
        <f>LISTAS!C30</f>
        <v/>
      </c>
      <c r="D51" s="15">
        <f>COUNTIF(MATRIZ!$E$2:$E$1001,A51)</f>
        <v/>
      </c>
      <c r="E51" s="15">
        <f>IF(D51=0,"",LOOKUP(2,1/(MATRIZ!$F$2:$F$1001=B51),MATRIZ!$A$2:$A$1001))</f>
        <v/>
      </c>
    </row>
    <row r="52">
      <c r="A52" s="15">
        <f>LISTAS!A31</f>
        <v/>
      </c>
      <c r="B52" s="15">
        <f>LISTAS!B31</f>
        <v/>
      </c>
      <c r="C52" s="15">
        <f>LISTAS!C31</f>
        <v/>
      </c>
      <c r="D52" s="15">
        <f>COUNTIF(MATRIZ!$E$2:$E$1001,A52)</f>
        <v/>
      </c>
      <c r="E52" s="15">
        <f>IF(D52=0,"",LOOKUP(2,1/(MATRIZ!$F$2:$F$1001=B52),MATRIZ!$A$2:$A$1001))</f>
        <v/>
      </c>
    </row>
    <row r="53">
      <c r="A53" s="15">
        <f>LISTAS!A32</f>
        <v/>
      </c>
      <c r="B53" s="15">
        <f>LISTAS!B32</f>
        <v/>
      </c>
      <c r="C53" s="15">
        <f>LISTAS!C32</f>
        <v/>
      </c>
      <c r="D53" s="15">
        <f>COUNTIF(MATRIZ!$E$2:$E$1001,A53)</f>
        <v/>
      </c>
      <c r="E53" s="15">
        <f>IF(D53=0,"",LOOKUP(2,1/(MATRIZ!$F$2:$F$1001=B53),MATRIZ!$A$2:$A$1001))</f>
        <v/>
      </c>
    </row>
    <row r="54">
      <c r="A54" s="15">
        <f>LISTAS!A33</f>
        <v/>
      </c>
      <c r="B54" s="15">
        <f>LISTAS!B33</f>
        <v/>
      </c>
      <c r="C54" s="15">
        <f>LISTAS!C33</f>
        <v/>
      </c>
      <c r="D54" s="15">
        <f>COUNTIF(MATRIZ!$E$2:$E$1001,A54)</f>
        <v/>
      </c>
      <c r="E54" s="15">
        <f>IF(D54=0,"",LOOKUP(2,1/(MATRIZ!$F$2:$F$1001=B54),MATRIZ!$A$2:$A$1001))</f>
        <v/>
      </c>
    </row>
    <row r="55">
      <c r="A55" s="15">
        <f>LISTAS!A34</f>
        <v/>
      </c>
      <c r="B55" s="15">
        <f>LISTAS!B34</f>
        <v/>
      </c>
      <c r="C55" s="15">
        <f>LISTAS!C34</f>
        <v/>
      </c>
      <c r="D55" s="15">
        <f>COUNTIF(MATRIZ!$E$2:$E$1001,A55)</f>
        <v/>
      </c>
      <c r="E55" s="15">
        <f>IF(D55=0,"",LOOKUP(2,1/(MATRIZ!$F$2:$F$1001=B55),MATRIZ!$A$2:$A$1001))</f>
        <v/>
      </c>
    </row>
    <row r="56">
      <c r="A56" s="15">
        <f>LISTAS!A35</f>
        <v/>
      </c>
      <c r="B56" s="15">
        <f>LISTAS!B35</f>
        <v/>
      </c>
      <c r="C56" s="15">
        <f>LISTAS!C35</f>
        <v/>
      </c>
      <c r="D56" s="15">
        <f>COUNTIF(MATRIZ!$E$2:$E$1001,A56)</f>
        <v/>
      </c>
      <c r="E56" s="15">
        <f>IF(D56=0,"",LOOKUP(2,1/(MATRIZ!$F$2:$F$1001=B56),MATRIZ!$A$2:$A$1001))</f>
        <v/>
      </c>
    </row>
    <row r="57">
      <c r="A57" s="15">
        <f>LISTAS!A36</f>
        <v/>
      </c>
      <c r="B57" s="15">
        <f>LISTAS!B36</f>
        <v/>
      </c>
      <c r="C57" s="15">
        <f>LISTAS!C36</f>
        <v/>
      </c>
      <c r="D57" s="15">
        <f>COUNTIF(MATRIZ!$E$2:$E$1001,A57)</f>
        <v/>
      </c>
      <c r="E57" s="15">
        <f>IF(D57=0,"",LOOKUP(2,1/(MATRIZ!$F$2:$F$1001=B57),MATRIZ!$A$2:$A$1001))</f>
        <v/>
      </c>
    </row>
    <row r="58">
      <c r="A58" s="15">
        <f>LISTAS!A37</f>
        <v/>
      </c>
      <c r="B58" s="15">
        <f>LISTAS!B37</f>
        <v/>
      </c>
      <c r="C58" s="15">
        <f>LISTAS!C37</f>
        <v/>
      </c>
      <c r="D58" s="15">
        <f>COUNTIF(MATRIZ!$E$2:$E$1001,A58)</f>
        <v/>
      </c>
      <c r="E58" s="15">
        <f>IF(D58=0,"",LOOKUP(2,1/(MATRIZ!$F$2:$F$1001=B58),MATRIZ!$A$2:$A$1001))</f>
        <v/>
      </c>
    </row>
    <row r="59">
      <c r="A59" s="15">
        <f>LISTAS!A38</f>
        <v/>
      </c>
      <c r="B59" s="15">
        <f>LISTAS!B38</f>
        <v/>
      </c>
      <c r="C59" s="15">
        <f>LISTAS!C38</f>
        <v/>
      </c>
      <c r="D59" s="15">
        <f>COUNTIF(MATRIZ!$E$2:$E$1001,A59)</f>
        <v/>
      </c>
      <c r="E59" s="15">
        <f>IF(D59=0,"",LOOKUP(2,1/(MATRIZ!$F$2:$F$1001=B59),MATRIZ!$A$2:$A$1001))</f>
        <v/>
      </c>
    </row>
    <row r="60">
      <c r="A60" s="15">
        <f>LISTAS!A39</f>
        <v/>
      </c>
      <c r="B60" s="15">
        <f>LISTAS!B39</f>
        <v/>
      </c>
      <c r="C60" s="15">
        <f>LISTAS!C39</f>
        <v/>
      </c>
      <c r="D60" s="15">
        <f>COUNTIF(MATRIZ!$E$2:$E$1001,A60)</f>
        <v/>
      </c>
      <c r="E60" s="15">
        <f>IF(D60=0,"",LOOKUP(2,1/(MATRIZ!$F$2:$F$1001=B60),MATRIZ!$A$2:$A$1001))</f>
        <v/>
      </c>
    </row>
    <row r="61">
      <c r="A61" s="15">
        <f>LISTAS!A40</f>
        <v/>
      </c>
      <c r="B61" s="15">
        <f>LISTAS!B40</f>
        <v/>
      </c>
      <c r="C61" s="15">
        <f>LISTAS!C40</f>
        <v/>
      </c>
      <c r="D61" s="15">
        <f>COUNTIF(MATRIZ!$E$2:$E$1001,A61)</f>
        <v/>
      </c>
      <c r="E61" s="15">
        <f>IF(D61=0,"",LOOKUP(2,1/(MATRIZ!$F$2:$F$1001=B61),MATRIZ!$A$2:$A$1001))</f>
        <v/>
      </c>
    </row>
    <row r="62">
      <c r="A62" s="15">
        <f>LISTAS!A41</f>
        <v/>
      </c>
      <c r="B62" s="15">
        <f>LISTAS!B41</f>
        <v/>
      </c>
      <c r="C62" s="15">
        <f>LISTAS!C41</f>
        <v/>
      </c>
      <c r="D62" s="15">
        <f>COUNTIF(MATRIZ!$E$2:$E$1001,A62)</f>
        <v/>
      </c>
      <c r="E62" s="15">
        <f>IF(D62=0,"",LOOKUP(2,1/(MATRIZ!$F$2:$F$1001=B62),MATRIZ!$A$2:$A$1001))</f>
        <v/>
      </c>
    </row>
    <row r="63">
      <c r="A63" s="15">
        <f>LISTAS!A42</f>
        <v/>
      </c>
      <c r="B63" s="15">
        <f>LISTAS!B42</f>
        <v/>
      </c>
      <c r="C63" s="15">
        <f>LISTAS!C42</f>
        <v/>
      </c>
      <c r="D63" s="15">
        <f>COUNTIF(MATRIZ!$E$2:$E$1001,A63)</f>
        <v/>
      </c>
      <c r="E63" s="15">
        <f>IF(D63=0,"",LOOKUP(2,1/(MATRIZ!$F$2:$F$1001=B63),MATRIZ!$A$2:$A$1001))</f>
        <v/>
      </c>
    </row>
    <row r="64">
      <c r="A64" s="15">
        <f>LISTAS!A43</f>
        <v/>
      </c>
      <c r="B64" s="15">
        <f>LISTAS!B43</f>
        <v/>
      </c>
      <c r="C64" s="15">
        <f>LISTAS!C43</f>
        <v/>
      </c>
      <c r="D64" s="15">
        <f>COUNTIF(MATRIZ!$E$2:$E$1001,A64)</f>
        <v/>
      </c>
      <c r="E64" s="15">
        <f>IF(D64=0,"",LOOKUP(2,1/(MATRIZ!$F$2:$F$1001=B64),MATRIZ!$A$2:$A$1001))</f>
        <v/>
      </c>
    </row>
    <row r="65">
      <c r="A65" s="15">
        <f>LISTAS!A44</f>
        <v/>
      </c>
      <c r="B65" s="15">
        <f>LISTAS!B44</f>
        <v/>
      </c>
      <c r="C65" s="15">
        <f>LISTAS!C44</f>
        <v/>
      </c>
      <c r="D65" s="15">
        <f>COUNTIF(MATRIZ!$E$2:$E$1001,A65)</f>
        <v/>
      </c>
      <c r="E65" s="15">
        <f>IF(D65=0,"",LOOKUP(2,1/(MATRIZ!$F$2:$F$1001=B65),MATRIZ!$A$2:$A$1001))</f>
        <v/>
      </c>
    </row>
    <row r="66">
      <c r="A66" s="15">
        <f>LISTAS!A45</f>
        <v/>
      </c>
      <c r="B66" s="15">
        <f>LISTAS!B45</f>
        <v/>
      </c>
      <c r="C66" s="15">
        <f>LISTAS!C45</f>
        <v/>
      </c>
      <c r="D66" s="15">
        <f>COUNTIF(MATRIZ!$E$2:$E$1001,A66)</f>
        <v/>
      </c>
      <c r="E66" s="15">
        <f>IF(D66=0,"",LOOKUP(2,1/(MATRIZ!$F$2:$F$1001=B66),MATRIZ!$A$2:$A$1001))</f>
        <v/>
      </c>
    </row>
    <row r="67">
      <c r="A67" s="15">
        <f>LISTAS!A46</f>
        <v/>
      </c>
      <c r="B67" s="15">
        <f>LISTAS!B46</f>
        <v/>
      </c>
      <c r="C67" s="15">
        <f>LISTAS!C46</f>
        <v/>
      </c>
      <c r="D67" s="15">
        <f>COUNTIF(MATRIZ!$E$2:$E$1001,A67)</f>
        <v/>
      </c>
      <c r="E67" s="15">
        <f>IF(D67=0,"",LOOKUP(2,1/(MATRIZ!$F$2:$F$1001=B67),MATRIZ!$A$2:$A$1001))</f>
        <v/>
      </c>
    </row>
    <row r="68">
      <c r="A68" s="15">
        <f>LISTAS!A47</f>
        <v/>
      </c>
      <c r="B68" s="15">
        <f>LISTAS!B47</f>
        <v/>
      </c>
      <c r="C68" s="15">
        <f>LISTAS!C47</f>
        <v/>
      </c>
      <c r="D68" s="15">
        <f>COUNTIF(MATRIZ!$E$2:$E$1001,A68)</f>
        <v/>
      </c>
      <c r="E68" s="15">
        <f>IF(D68=0,"",LOOKUP(2,1/(MATRIZ!$F$2:$F$1001=B68),MATRIZ!$A$2:$A$1001))</f>
        <v/>
      </c>
    </row>
    <row r="69">
      <c r="A69" s="15">
        <f>LISTAS!A48</f>
        <v/>
      </c>
      <c r="B69" s="15">
        <f>LISTAS!B48</f>
        <v/>
      </c>
      <c r="C69" s="15">
        <f>LISTAS!C48</f>
        <v/>
      </c>
      <c r="D69" s="15">
        <f>COUNTIF(MATRIZ!$E$2:$E$1001,A69)</f>
        <v/>
      </c>
      <c r="E69" s="15">
        <f>IF(D69=0,"",LOOKUP(2,1/(MATRIZ!$F$2:$F$1001=B69),MATRIZ!$A$2:$A$1001))</f>
        <v/>
      </c>
    </row>
    <row r="70">
      <c r="A70" s="15">
        <f>LISTAS!A49</f>
        <v/>
      </c>
      <c r="B70" s="15">
        <f>LISTAS!B49</f>
        <v/>
      </c>
      <c r="C70" s="15">
        <f>LISTAS!C49</f>
        <v/>
      </c>
      <c r="D70" s="15">
        <f>COUNTIF(MATRIZ!$E$2:$E$1001,A70)</f>
        <v/>
      </c>
      <c r="E70" s="15">
        <f>IF(D70=0,"",LOOKUP(2,1/(MATRIZ!$F$2:$F$1001=B70),MATRIZ!$A$2:$A$1001))</f>
        <v/>
      </c>
    </row>
    <row r="71">
      <c r="A71" s="15">
        <f>LISTAS!A50</f>
        <v/>
      </c>
      <c r="B71" s="15">
        <f>LISTAS!B50</f>
        <v/>
      </c>
      <c r="C71" s="15">
        <f>LISTAS!C50</f>
        <v/>
      </c>
      <c r="D71" s="15">
        <f>COUNTIF(MATRIZ!$E$2:$E$1001,A71)</f>
        <v/>
      </c>
      <c r="E71" s="15">
        <f>IF(D71=0,"",LOOKUP(2,1/(MATRIZ!$F$2:$F$1001=B71),MATRIZ!$A$2:$A$1001))</f>
        <v/>
      </c>
    </row>
    <row r="72">
      <c r="A72" s="15">
        <f>LISTAS!A51</f>
        <v/>
      </c>
      <c r="B72" s="15">
        <f>LISTAS!B51</f>
        <v/>
      </c>
      <c r="C72" s="15">
        <f>LISTAS!C51</f>
        <v/>
      </c>
      <c r="D72" s="15">
        <f>COUNTIF(MATRIZ!$E$2:$E$1001,A72)</f>
        <v/>
      </c>
      <c r="E72" s="15">
        <f>IF(D72=0,"",LOOKUP(2,1/(MATRIZ!$F$2:$F$1001=B72),MATRIZ!$A$2:$A$1001))</f>
        <v/>
      </c>
    </row>
    <row r="73">
      <c r="A73" s="15">
        <f>LISTAS!A52</f>
        <v/>
      </c>
      <c r="B73" s="15">
        <f>LISTAS!B52</f>
        <v/>
      </c>
      <c r="C73" s="15">
        <f>LISTAS!C52</f>
        <v/>
      </c>
      <c r="D73" s="15">
        <f>COUNTIF(MATRIZ!$E$2:$E$1001,A73)</f>
        <v/>
      </c>
      <c r="E73" s="15">
        <f>IF(D73=0,"",LOOKUP(2,1/(MATRIZ!$F$2:$F$1001=B73),MATRIZ!$A$2:$A$1001))</f>
        <v/>
      </c>
    </row>
    <row r="74">
      <c r="A74" s="15">
        <f>LISTAS!A53</f>
        <v/>
      </c>
      <c r="B74" s="15">
        <f>LISTAS!B53</f>
        <v/>
      </c>
      <c r="C74" s="15">
        <f>LISTAS!C53</f>
        <v/>
      </c>
      <c r="D74" s="15">
        <f>COUNTIF(MATRIZ!$E$2:$E$1001,A74)</f>
        <v/>
      </c>
      <c r="E74" s="15">
        <f>IF(D74=0,"",LOOKUP(2,1/(MATRIZ!$F$2:$F$1001=B74),MATRIZ!$A$2:$A$1001))</f>
        <v/>
      </c>
    </row>
    <row r="75">
      <c r="A75" s="15">
        <f>LISTAS!A54</f>
        <v/>
      </c>
      <c r="B75" s="15">
        <f>LISTAS!B54</f>
        <v/>
      </c>
      <c r="C75" s="15">
        <f>LISTAS!C54</f>
        <v/>
      </c>
      <c r="D75" s="15">
        <f>COUNTIF(MATRIZ!$E$2:$E$1001,A75)</f>
        <v/>
      </c>
      <c r="E75" s="15">
        <f>IF(D75=0,"",LOOKUP(2,1/(MATRIZ!$F$2:$F$1001=B75),MATRIZ!$A$2:$A$1001))</f>
        <v/>
      </c>
    </row>
    <row r="76">
      <c r="A76" s="15">
        <f>LISTAS!A55</f>
        <v/>
      </c>
      <c r="B76" s="15">
        <f>LISTAS!B55</f>
        <v/>
      </c>
      <c r="C76" s="15">
        <f>LISTAS!C55</f>
        <v/>
      </c>
      <c r="D76" s="15">
        <f>COUNTIF(MATRIZ!$E$2:$E$1001,A76)</f>
        <v/>
      </c>
      <c r="E76" s="15">
        <f>IF(D76=0,"",LOOKUP(2,1/(MATRIZ!$F$2:$F$1001=B76),MATRIZ!$A$2:$A$1001))</f>
        <v/>
      </c>
    </row>
    <row r="77">
      <c r="A77" s="15">
        <f>LISTAS!A56</f>
        <v/>
      </c>
      <c r="B77" s="15">
        <f>LISTAS!B56</f>
        <v/>
      </c>
      <c r="C77" s="15">
        <f>LISTAS!C56</f>
        <v/>
      </c>
      <c r="D77" s="15">
        <f>COUNTIF(MATRIZ!$E$2:$E$1001,A77)</f>
        <v/>
      </c>
      <c r="E77" s="15">
        <f>IF(D77=0,"",LOOKUP(2,1/(MATRIZ!$F$2:$F$1001=B77),MATRIZ!$A$2:$A$1001))</f>
        <v/>
      </c>
    </row>
    <row r="78">
      <c r="A78" s="15">
        <f>LISTAS!A57</f>
        <v/>
      </c>
      <c r="B78" s="15">
        <f>LISTAS!B57</f>
        <v/>
      </c>
      <c r="C78" s="15">
        <f>LISTAS!C57</f>
        <v/>
      </c>
      <c r="D78" s="15">
        <f>COUNTIF(MATRIZ!$E$2:$E$1001,A78)</f>
        <v/>
      </c>
      <c r="E78" s="15">
        <f>IF(D78=0,"",LOOKUP(2,1/(MATRIZ!$F$2:$F$1001=B78),MATRIZ!$A$2:$A$1001))</f>
        <v/>
      </c>
    </row>
    <row r="79">
      <c r="A79" s="15">
        <f>LISTAS!A58</f>
        <v/>
      </c>
      <c r="B79" s="15">
        <f>LISTAS!B58</f>
        <v/>
      </c>
      <c r="C79" s="15">
        <f>LISTAS!C58</f>
        <v/>
      </c>
      <c r="D79" s="15">
        <f>COUNTIF(MATRIZ!$E$2:$E$1001,A79)</f>
        <v/>
      </c>
      <c r="E79" s="15">
        <f>IF(D79=0,"",LOOKUP(2,1/(MATRIZ!$F$2:$F$1001=B79),MATRIZ!$A$2:$A$1001))</f>
        <v/>
      </c>
    </row>
    <row r="80">
      <c r="A80" s="15">
        <f>LISTAS!A59</f>
        <v/>
      </c>
      <c r="B80" s="15">
        <f>LISTAS!B59</f>
        <v/>
      </c>
      <c r="C80" s="15">
        <f>LISTAS!C59</f>
        <v/>
      </c>
      <c r="D80" s="15">
        <f>COUNTIF(MATRIZ!$E$2:$E$1001,A80)</f>
        <v/>
      </c>
      <c r="E80" s="15">
        <f>IF(D80=0,"",LOOKUP(2,1/(MATRIZ!$F$2:$F$1001=B80),MATRIZ!$A$2:$A$1001))</f>
        <v/>
      </c>
    </row>
    <row r="81">
      <c r="A81" s="15">
        <f>LISTAS!A60</f>
        <v/>
      </c>
      <c r="B81" s="15">
        <f>LISTAS!B60</f>
        <v/>
      </c>
      <c r="C81" s="15">
        <f>LISTAS!C60</f>
        <v/>
      </c>
      <c r="D81" s="15">
        <f>COUNTIF(MATRIZ!$E$2:$E$1001,A81)</f>
        <v/>
      </c>
      <c r="E81" s="15">
        <f>IF(D81=0,"",LOOKUP(2,1/(MATRIZ!$F$2:$F$1001=B81),MATRIZ!$A$2:$A$1001))</f>
        <v/>
      </c>
    </row>
    <row r="82">
      <c r="A82" s="15">
        <f>LISTAS!A61</f>
        <v/>
      </c>
      <c r="B82" s="15">
        <f>LISTAS!B61</f>
        <v/>
      </c>
      <c r="C82" s="15">
        <f>LISTAS!C61</f>
        <v/>
      </c>
      <c r="D82" s="15">
        <f>COUNTIF(MATRIZ!$E$2:$E$1001,A82)</f>
        <v/>
      </c>
      <c r="E82" s="15">
        <f>IF(D82=0,"",LOOKUP(2,1/(MATRIZ!$F$2:$F$1001=B82),MATRIZ!$A$2:$A$1001))</f>
        <v/>
      </c>
    </row>
    <row r="83">
      <c r="A83" s="15">
        <f>LISTAS!A62</f>
        <v/>
      </c>
      <c r="B83" s="15">
        <f>LISTAS!B62</f>
        <v/>
      </c>
      <c r="C83" s="15">
        <f>LISTAS!C62</f>
        <v/>
      </c>
      <c r="D83" s="15">
        <f>COUNTIF(MATRIZ!$E$2:$E$1001,A83)</f>
        <v/>
      </c>
      <c r="E83" s="15">
        <f>IF(D83=0,"",LOOKUP(2,1/(MATRIZ!$F$2:$F$1001=B83),MATRIZ!$A$2:$A$1001))</f>
        <v/>
      </c>
    </row>
    <row r="84">
      <c r="A84" s="15">
        <f>LISTAS!A63</f>
        <v/>
      </c>
      <c r="B84" s="15">
        <f>LISTAS!B63</f>
        <v/>
      </c>
      <c r="C84" s="15">
        <f>LISTAS!C63</f>
        <v/>
      </c>
      <c r="D84" s="15">
        <f>COUNTIF(MATRIZ!$E$2:$E$1001,A84)</f>
        <v/>
      </c>
      <c r="E84" s="15">
        <f>IF(D84=0,"",LOOKUP(2,1/(MATRIZ!$F$2:$F$1001=B84),MATRIZ!$A$2:$A$1001))</f>
        <v/>
      </c>
    </row>
    <row r="85">
      <c r="A85" s="15">
        <f>LISTAS!A64</f>
        <v/>
      </c>
      <c r="B85" s="15">
        <f>LISTAS!B64</f>
        <v/>
      </c>
      <c r="C85" s="15">
        <f>LISTAS!C64</f>
        <v/>
      </c>
      <c r="D85" s="15">
        <f>COUNTIF(MATRIZ!$E$2:$E$1001,A85)</f>
        <v/>
      </c>
      <c r="E85" s="15">
        <f>IF(D85=0,"",LOOKUP(2,1/(MATRIZ!$F$2:$F$1001=B85),MATRIZ!$A$2:$A$1001))</f>
        <v/>
      </c>
    </row>
    <row r="86">
      <c r="A86" s="15">
        <f>LISTAS!A65</f>
        <v/>
      </c>
      <c r="B86" s="15">
        <f>LISTAS!B65</f>
        <v/>
      </c>
      <c r="C86" s="15">
        <f>LISTAS!C65</f>
        <v/>
      </c>
      <c r="D86" s="15">
        <f>COUNTIF(MATRIZ!$E$2:$E$1001,A86)</f>
        <v/>
      </c>
      <c r="E86" s="15">
        <f>IF(D86=0,"",LOOKUP(2,1/(MATRIZ!$F$2:$F$1001=B86),MATRIZ!$A$2:$A$1001))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9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6" t="inlineStr">
        <is>
          <t>MUNICIPIO</t>
        </is>
      </c>
      <c r="B1" s="6" t="inlineStr">
        <is>
          <t>CODIGO_DANE</t>
        </is>
      </c>
      <c r="C1" s="6" t="inlineStr">
        <is>
          <t>SUBREGION</t>
        </is>
      </c>
      <c r="E1" s="6" t="inlineStr">
        <is>
          <t>SUBREGION</t>
        </is>
      </c>
      <c r="F1" s="6" t="inlineStr">
        <is>
          <t>MUNICIPIO</t>
        </is>
      </c>
      <c r="G1" s="6" t="inlineStr">
        <is>
          <t>ZONA</t>
        </is>
      </c>
      <c r="H1" s="6" t="inlineStr">
        <is>
          <t>SINR</t>
        </is>
      </c>
      <c r="I1" s="6" t="inlineStr">
        <is>
          <t>SINO</t>
        </is>
      </c>
      <c r="J1" s="6" t="inlineStr">
        <is>
          <t>ETNIA</t>
        </is>
      </c>
      <c r="K1" s="6" t="inlineStr">
        <is>
          <t>GENERO</t>
        </is>
      </c>
      <c r="L1" s="6" t="inlineStr">
        <is>
          <t>ORIENTACION</t>
        </is>
      </c>
      <c r="M1" s="6" t="inlineStr">
        <is>
          <t>LUGAR</t>
        </is>
      </c>
      <c r="N1" s="6" t="inlineStr">
        <is>
          <t>AGRESOR</t>
        </is>
      </c>
      <c r="P1" s="6" t="inlineStr">
        <is>
          <t>MUNICIPIO_COMUNA</t>
        </is>
      </c>
      <c r="Q1" s="6" t="inlineStr">
        <is>
          <t>COMUNA</t>
        </is>
      </c>
      <c r="S1" s="6" t="inlineStr">
        <is>
          <t>MUNICIPIO_BARRIO</t>
        </is>
      </c>
      <c r="T1" s="6" t="inlineStr">
        <is>
          <t>BARRIO</t>
        </is>
      </c>
      <c r="V1" s="6" t="inlineStr">
        <is>
          <t>MUNICIPIO_CORREG</t>
        </is>
      </c>
      <c r="W1" s="6" t="inlineStr">
        <is>
          <t>CORREG</t>
        </is>
      </c>
      <c r="Y1" s="6" t="inlineStr">
        <is>
          <t>MUNICIPIO_VEREDA</t>
        </is>
      </c>
      <c r="Z1" s="6" t="inlineStr">
        <is>
          <t>VEREDA</t>
        </is>
      </c>
    </row>
    <row r="2">
      <c r="A2" t="inlineStr">
        <is>
          <t>Albán</t>
        </is>
      </c>
      <c r="B2" t="inlineStr">
        <is>
          <t>52019</t>
        </is>
      </c>
      <c r="C2" t="inlineStr">
        <is>
          <t>Río Mayo</t>
        </is>
      </c>
      <c r="E2" t="inlineStr">
        <is>
          <t>Centro</t>
        </is>
      </c>
      <c r="F2" t="inlineStr">
        <is>
          <t>Albán</t>
        </is>
      </c>
      <c r="G2" t="inlineStr">
        <is>
          <t>Urbana</t>
        </is>
      </c>
      <c r="H2" t="inlineStr">
        <is>
          <t>Sí</t>
        </is>
      </c>
      <c r="I2" t="inlineStr">
        <is>
          <t>Sí</t>
        </is>
      </c>
      <c r="J2" t="inlineStr">
        <is>
          <t>Mestiza</t>
        </is>
      </c>
      <c r="K2" t="inlineStr">
        <is>
          <t>Mujer</t>
        </is>
      </c>
      <c r="L2" t="inlineStr">
        <is>
          <t>Heterosexual</t>
        </is>
      </c>
      <c r="M2" t="inlineStr">
        <is>
          <t>Vivienda</t>
        </is>
      </c>
      <c r="N2" t="inlineStr">
        <is>
          <t>Pareja</t>
        </is>
      </c>
      <c r="P2" t="inlineStr">
        <is>
          <t>Pasto</t>
        </is>
      </c>
      <c r="Q2" t="inlineStr">
        <is>
          <t>Comuna 1</t>
        </is>
      </c>
      <c r="S2" t="inlineStr">
        <is>
          <t>Pasto</t>
        </is>
      </c>
      <c r="T2" t="inlineStr">
        <is>
          <t>12 de Octubre</t>
        </is>
      </c>
      <c r="V2" t="inlineStr">
        <is>
          <t>Albán</t>
        </is>
      </c>
      <c r="W2" t="inlineStr">
        <is>
          <t>Campobello</t>
        </is>
      </c>
      <c r="Y2" t="inlineStr">
        <is>
          <t>Albán</t>
        </is>
      </c>
      <c r="Z2" t="inlineStr">
        <is>
          <t>Alto Delas Estrellas</t>
        </is>
      </c>
    </row>
    <row r="3">
      <c r="A3" t="inlineStr">
        <is>
          <t>Aldana</t>
        </is>
      </c>
      <c r="B3" t="inlineStr">
        <is>
          <t>52022</t>
        </is>
      </c>
      <c r="C3" t="inlineStr">
        <is>
          <t>Obando</t>
        </is>
      </c>
      <c r="E3" t="inlineStr">
        <is>
          <t>Guambuyaco</t>
        </is>
      </c>
      <c r="F3" t="inlineStr">
        <is>
          <t>Aldana</t>
        </is>
      </c>
      <c r="G3" t="inlineStr">
        <is>
          <t>Rural</t>
        </is>
      </c>
      <c r="H3" t="inlineStr">
        <is>
          <t>No</t>
        </is>
      </c>
      <c r="I3" t="inlineStr">
        <is>
          <t>No</t>
        </is>
      </c>
      <c r="J3" t="inlineStr">
        <is>
          <t>Indígena</t>
        </is>
      </c>
      <c r="K3" t="inlineStr">
        <is>
          <t>Mujer trans</t>
        </is>
      </c>
      <c r="L3" t="inlineStr">
        <is>
          <t>Lesbiana</t>
        </is>
      </c>
      <c r="M3" t="inlineStr">
        <is>
          <t>Vía o espacio público</t>
        </is>
      </c>
      <c r="N3" t="inlineStr">
        <is>
          <t>Expareja</t>
        </is>
      </c>
      <c r="P3" t="inlineStr">
        <is>
          <t>Pasto</t>
        </is>
      </c>
      <c r="Q3" t="inlineStr">
        <is>
          <t>Comuna 2</t>
        </is>
      </c>
      <c r="S3" t="inlineStr">
        <is>
          <t>Pasto</t>
        </is>
      </c>
      <c r="T3" t="inlineStr">
        <is>
          <t>20 de Julio</t>
        </is>
      </c>
      <c r="V3" t="inlineStr">
        <is>
          <t>Albán</t>
        </is>
      </c>
      <c r="W3" t="inlineStr">
        <is>
          <t>Carmelo Asentamiento 1</t>
        </is>
      </c>
      <c r="Y3" t="inlineStr">
        <is>
          <t>Albán</t>
        </is>
      </c>
      <c r="Z3" t="inlineStr">
        <is>
          <t>Betania</t>
        </is>
      </c>
    </row>
    <row r="4">
      <c r="A4" t="inlineStr">
        <is>
          <t>Ancuya</t>
        </is>
      </c>
      <c r="B4" t="inlineStr">
        <is>
          <t>52036</t>
        </is>
      </c>
      <c r="C4" t="inlineStr">
        <is>
          <t>Occidente</t>
        </is>
      </c>
      <c r="E4" t="inlineStr">
        <is>
          <t>Juanambú</t>
        </is>
      </c>
      <c r="F4" t="inlineStr">
        <is>
          <t>Ancuya</t>
        </is>
      </c>
      <c r="H4" t="inlineStr">
        <is>
          <t>No registra</t>
        </is>
      </c>
      <c r="J4" t="inlineStr">
        <is>
          <t>Afrodescendiente</t>
        </is>
      </c>
      <c r="K4" t="inlineStr">
        <is>
          <t>Hombre</t>
        </is>
      </c>
      <c r="L4" t="inlineStr">
        <is>
          <t>Gay</t>
        </is>
      </c>
      <c r="M4" t="inlineStr">
        <is>
          <t>Lugar de trabajo</t>
        </is>
      </c>
      <c r="N4" t="inlineStr">
        <is>
          <t>Padre o padrastro</t>
        </is>
      </c>
      <c r="P4" t="inlineStr">
        <is>
          <t>Pasto</t>
        </is>
      </c>
      <c r="Q4" t="inlineStr">
        <is>
          <t>Comuna 3</t>
        </is>
      </c>
      <c r="S4" t="inlineStr">
        <is>
          <t>Pasto</t>
        </is>
      </c>
      <c r="T4" t="inlineStr">
        <is>
          <t>7 de Agosto</t>
        </is>
      </c>
      <c r="V4" t="inlineStr">
        <is>
          <t>Albán</t>
        </is>
      </c>
      <c r="W4" t="inlineStr">
        <is>
          <t>Fátima</t>
        </is>
      </c>
      <c r="Y4" t="inlineStr">
        <is>
          <t>Albán</t>
        </is>
      </c>
      <c r="Z4" t="inlineStr">
        <is>
          <t>Buenavista</t>
        </is>
      </c>
    </row>
    <row r="5">
      <c r="A5" t="inlineStr">
        <is>
          <t>Arboleda</t>
        </is>
      </c>
      <c r="B5" t="inlineStr">
        <is>
          <t>52051</t>
        </is>
      </c>
      <c r="C5" t="inlineStr">
        <is>
          <t>Juanambú</t>
        </is>
      </c>
      <c r="E5" t="inlineStr">
        <is>
          <t>La Cordillera</t>
        </is>
      </c>
      <c r="F5" t="inlineStr">
        <is>
          <t>Arboleda</t>
        </is>
      </c>
      <c r="J5" t="inlineStr">
        <is>
          <t>Gitana (Rrom)</t>
        </is>
      </c>
      <c r="K5" t="inlineStr">
        <is>
          <t>Hombre trans</t>
        </is>
      </c>
      <c r="L5" t="inlineStr">
        <is>
          <t>Bisexual</t>
        </is>
      </c>
      <c r="M5" t="inlineStr">
        <is>
          <t>Institución educativa</t>
        </is>
      </c>
      <c r="N5" t="inlineStr">
        <is>
          <t>Madre o madrastra</t>
        </is>
      </c>
      <c r="P5" t="inlineStr">
        <is>
          <t>Pasto</t>
        </is>
      </c>
      <c r="Q5" t="inlineStr">
        <is>
          <t>Comuna 4</t>
        </is>
      </c>
      <c r="S5" t="inlineStr">
        <is>
          <t>Pasto</t>
        </is>
      </c>
      <c r="T5" t="inlineStr">
        <is>
          <t>8 de Marzo</t>
        </is>
      </c>
      <c r="V5" t="inlineStr">
        <is>
          <t>Aldana</t>
        </is>
      </c>
      <c r="W5" t="inlineStr">
        <is>
          <t>Guespud</t>
        </is>
      </c>
      <c r="Y5" t="inlineStr">
        <is>
          <t>Albán</t>
        </is>
      </c>
      <c r="Z5" t="inlineStr">
        <is>
          <t>Campobello</t>
        </is>
      </c>
    </row>
    <row r="6">
      <c r="A6" t="inlineStr">
        <is>
          <t>Barbacoas</t>
        </is>
      </c>
      <c r="B6" t="inlineStr">
        <is>
          <t>52079</t>
        </is>
      </c>
      <c r="C6" t="inlineStr">
        <is>
          <t>Telembí</t>
        </is>
      </c>
      <c r="E6" t="inlineStr">
        <is>
          <t>La Sabana</t>
        </is>
      </c>
      <c r="F6" t="inlineStr">
        <is>
          <t>Barbacoas</t>
        </is>
      </c>
      <c r="J6" t="inlineStr">
        <is>
          <t>No registra</t>
        </is>
      </c>
      <c r="K6" t="inlineStr">
        <is>
          <t>Persona no binaria</t>
        </is>
      </c>
      <c r="L6" t="inlineStr">
        <is>
          <t>Otra</t>
        </is>
      </c>
      <c r="M6" t="inlineStr">
        <is>
          <t>Establecimiento de salud</t>
        </is>
      </c>
      <c r="N6" t="inlineStr">
        <is>
          <t>Hijo o hija</t>
        </is>
      </c>
      <c r="P6" t="inlineStr">
        <is>
          <t>Pasto</t>
        </is>
      </c>
      <c r="Q6" t="inlineStr">
        <is>
          <t>Comuna 5</t>
        </is>
      </c>
      <c r="S6" t="inlineStr">
        <is>
          <t>Pasto</t>
        </is>
      </c>
      <c r="T6" t="inlineStr">
        <is>
          <t>Achalay</t>
        </is>
      </c>
      <c r="V6" t="inlineStr">
        <is>
          <t>Aldana</t>
        </is>
      </c>
      <c r="W6" t="inlineStr">
        <is>
          <t>Pamba Rosa</t>
        </is>
      </c>
      <c r="Y6" t="inlineStr">
        <is>
          <t>Albán</t>
        </is>
      </c>
      <c r="Z6" t="inlineStr">
        <is>
          <t>Cebadero</t>
        </is>
      </c>
    </row>
    <row r="7">
      <c r="A7" t="inlineStr">
        <is>
          <t>Belén</t>
        </is>
      </c>
      <c r="B7" t="inlineStr">
        <is>
          <t>52083</t>
        </is>
      </c>
      <c r="C7" t="inlineStr">
        <is>
          <t>Río Mayo</t>
        </is>
      </c>
      <c r="E7" t="inlineStr">
        <is>
          <t>Los Abades</t>
        </is>
      </c>
      <c r="F7" t="inlineStr">
        <is>
          <t>Belén</t>
        </is>
      </c>
      <c r="K7" t="inlineStr">
        <is>
          <t>Otra</t>
        </is>
      </c>
      <c r="L7" t="inlineStr">
        <is>
          <t>No registra</t>
        </is>
      </c>
      <c r="M7" t="inlineStr">
        <is>
          <t>Transporte público</t>
        </is>
      </c>
      <c r="N7" t="inlineStr">
        <is>
          <t>Hermano o hermana</t>
        </is>
      </c>
      <c r="P7" t="inlineStr">
        <is>
          <t>Pasto</t>
        </is>
      </c>
      <c r="Q7" t="inlineStr">
        <is>
          <t>Comuna 6</t>
        </is>
      </c>
      <c r="S7" t="inlineStr">
        <is>
          <t>Pasto</t>
        </is>
      </c>
      <c r="T7" t="inlineStr">
        <is>
          <t>Agualongo</t>
        </is>
      </c>
      <c r="V7" t="inlineStr">
        <is>
          <t>Aldana</t>
        </is>
      </c>
      <c r="W7" t="inlineStr">
        <is>
          <t>San Luis</t>
        </is>
      </c>
      <c r="Y7" t="inlineStr">
        <is>
          <t>Albán</t>
        </is>
      </c>
      <c r="Z7" t="inlineStr">
        <is>
          <t>Chapiurco</t>
        </is>
      </c>
    </row>
    <row r="8">
      <c r="A8" t="inlineStr">
        <is>
          <t>Buesaco</t>
        </is>
      </c>
      <c r="B8" t="inlineStr">
        <is>
          <t>52110</t>
        </is>
      </c>
      <c r="C8" t="inlineStr">
        <is>
          <t>Juanambú</t>
        </is>
      </c>
      <c r="E8" t="inlineStr">
        <is>
          <t>Obando</t>
        </is>
      </c>
      <c r="F8" t="inlineStr">
        <is>
          <t>Buesaco</t>
        </is>
      </c>
      <c r="K8" t="inlineStr">
        <is>
          <t>No registra</t>
        </is>
      </c>
      <c r="M8" t="inlineStr">
        <is>
          <t>Bar, discoteca u hotel</t>
        </is>
      </c>
      <c r="N8" t="inlineStr">
        <is>
          <t>Otro familiar</t>
        </is>
      </c>
      <c r="P8" t="inlineStr">
        <is>
          <t>Pasto</t>
        </is>
      </c>
      <c r="Q8" t="inlineStr">
        <is>
          <t>Comuna 7</t>
        </is>
      </c>
      <c r="S8" t="inlineStr">
        <is>
          <t>Pasto</t>
        </is>
      </c>
      <c r="T8" t="inlineStr">
        <is>
          <t>Aire Libre</t>
        </is>
      </c>
      <c r="V8" t="inlineStr">
        <is>
          <t>Ancuya</t>
        </is>
      </c>
      <c r="W8" t="inlineStr">
        <is>
          <t>Indo Santa Rosa</t>
        </is>
      </c>
      <c r="Y8" t="inlineStr">
        <is>
          <t>Albán</t>
        </is>
      </c>
      <c r="Z8" t="inlineStr">
        <is>
          <t>El Carmelo</t>
        </is>
      </c>
    </row>
    <row r="9">
      <c r="A9" t="inlineStr">
        <is>
          <t>Chachagüí</t>
        </is>
      </c>
      <c r="B9" t="inlineStr">
        <is>
          <t>52240</t>
        </is>
      </c>
      <c r="C9" t="inlineStr">
        <is>
          <t>Centro</t>
        </is>
      </c>
      <c r="E9" t="inlineStr">
        <is>
          <t>Occidente</t>
        </is>
      </c>
      <c r="F9" t="inlineStr">
        <is>
          <t>Chachagüí</t>
        </is>
      </c>
      <c r="M9" t="inlineStr">
        <is>
          <t>Zona rural (finca o campo)</t>
        </is>
      </c>
      <c r="N9" t="inlineStr">
        <is>
          <t>Conocido o vecino</t>
        </is>
      </c>
      <c r="P9" t="inlineStr">
        <is>
          <t>Pasto</t>
        </is>
      </c>
      <c r="Q9" t="inlineStr">
        <is>
          <t>Comuna 8</t>
        </is>
      </c>
      <c r="S9" t="inlineStr">
        <is>
          <t>Pasto</t>
        </is>
      </c>
      <c r="T9" t="inlineStr">
        <is>
          <t>Alahambra</t>
        </is>
      </c>
      <c r="V9" t="inlineStr">
        <is>
          <t>Arboleda</t>
        </is>
      </c>
      <c r="W9" t="inlineStr">
        <is>
          <t>El Empate</t>
        </is>
      </c>
      <c r="Y9" t="inlineStr">
        <is>
          <t>Albán</t>
        </is>
      </c>
      <c r="Z9" t="inlineStr">
        <is>
          <t>El Diviso</t>
        </is>
      </c>
    </row>
    <row r="10">
      <c r="A10" t="inlineStr">
        <is>
          <t>Colón</t>
        </is>
      </c>
      <c r="B10" t="inlineStr">
        <is>
          <t>52203</t>
        </is>
      </c>
      <c r="C10" t="inlineStr">
        <is>
          <t>Río Mayo</t>
        </is>
      </c>
      <c r="E10" t="inlineStr">
        <is>
          <t>Pacífico Sur</t>
        </is>
      </c>
      <c r="F10" t="inlineStr">
        <is>
          <t>Colón</t>
        </is>
      </c>
      <c r="M10" t="inlineStr">
        <is>
          <t>Medios digitales o redes sociales</t>
        </is>
      </c>
      <c r="N10" t="inlineStr">
        <is>
          <t>Jefe, docente, funcionario o autoridad</t>
        </is>
      </c>
      <c r="P10" t="inlineStr">
        <is>
          <t>Pasto</t>
        </is>
      </c>
      <c r="Q10" t="inlineStr">
        <is>
          <t>Comuna 9</t>
        </is>
      </c>
      <c r="S10" t="inlineStr">
        <is>
          <t>Pasto</t>
        </is>
      </c>
      <c r="T10" t="inlineStr">
        <is>
          <t>Alameda I</t>
        </is>
      </c>
      <c r="V10" t="inlineStr">
        <is>
          <t>Arboleda</t>
        </is>
      </c>
      <c r="W10" t="inlineStr">
        <is>
          <t>El Pedregal</t>
        </is>
      </c>
      <c r="Y10" t="inlineStr">
        <is>
          <t>Albán</t>
        </is>
      </c>
      <c r="Z10" t="inlineStr">
        <is>
          <t>El Salado</t>
        </is>
      </c>
    </row>
    <row r="11">
      <c r="A11" t="inlineStr">
        <is>
          <t>Consacá</t>
        </is>
      </c>
      <c r="B11" t="inlineStr">
        <is>
          <t>52207</t>
        </is>
      </c>
      <c r="C11" t="inlineStr">
        <is>
          <t>Occidente</t>
        </is>
      </c>
      <c r="E11" t="inlineStr">
        <is>
          <t>Piedemonte Costero</t>
        </is>
      </c>
      <c r="F11" t="inlineStr">
        <is>
          <t>Consacá</t>
        </is>
      </c>
      <c r="M11" t="inlineStr">
        <is>
          <t>Otro lugar</t>
        </is>
      </c>
      <c r="N11" t="inlineStr">
        <is>
          <t>Actor armado</t>
        </is>
      </c>
      <c r="P11" t="inlineStr">
        <is>
          <t>Pasto</t>
        </is>
      </c>
      <c r="Q11" t="inlineStr">
        <is>
          <t>Comuna 10</t>
        </is>
      </c>
      <c r="S11" t="inlineStr">
        <is>
          <t>Pasto</t>
        </is>
      </c>
      <c r="T11" t="inlineStr">
        <is>
          <t>Alameda Ii</t>
        </is>
      </c>
      <c r="V11" t="inlineStr">
        <is>
          <t>Arboleda</t>
        </is>
      </c>
      <c r="W11" t="inlineStr">
        <is>
          <t>Rosa Florida Sur - Sector la Capilla</t>
        </is>
      </c>
      <c r="Y11" t="inlineStr">
        <is>
          <t>Albán</t>
        </is>
      </c>
      <c r="Z11" t="inlineStr">
        <is>
          <t>El Socorro</t>
        </is>
      </c>
    </row>
    <row r="12">
      <c r="A12" t="inlineStr">
        <is>
          <t>Contadero</t>
        </is>
      </c>
      <c r="B12" t="inlineStr">
        <is>
          <t>52210</t>
        </is>
      </c>
      <c r="C12" t="inlineStr">
        <is>
          <t>Obando</t>
        </is>
      </c>
      <c r="E12" t="inlineStr">
        <is>
          <t>Río Mayo</t>
        </is>
      </c>
      <c r="F12" t="inlineStr">
        <is>
          <t>Contadero</t>
        </is>
      </c>
      <c r="M12" t="inlineStr">
        <is>
          <t>No registra</t>
        </is>
      </c>
      <c r="N12" t="inlineStr">
        <is>
          <t>Desconocido</t>
        </is>
      </c>
      <c r="P12" t="inlineStr">
        <is>
          <t>Pasto</t>
        </is>
      </c>
      <c r="Q12" t="inlineStr">
        <is>
          <t>Comuna 11</t>
        </is>
      </c>
      <c r="S12" t="inlineStr">
        <is>
          <t>Pasto</t>
        </is>
      </c>
      <c r="T12" t="inlineStr">
        <is>
          <t>Albergue del Sol</t>
        </is>
      </c>
      <c r="V12" t="inlineStr">
        <is>
          <t>Arboleda</t>
        </is>
      </c>
      <c r="W12" t="inlineStr">
        <is>
          <t>Rosaflorida Norte</t>
        </is>
      </c>
      <c r="Y12" t="inlineStr">
        <is>
          <t>Albán</t>
        </is>
      </c>
      <c r="Z12" t="inlineStr">
        <is>
          <t>Fátima</t>
        </is>
      </c>
    </row>
    <row r="13">
      <c r="A13" t="inlineStr">
        <is>
          <t>Córdoba</t>
        </is>
      </c>
      <c r="B13" t="inlineStr">
        <is>
          <t>52215</t>
        </is>
      </c>
      <c r="C13" t="inlineStr">
        <is>
          <t>Obando</t>
        </is>
      </c>
      <c r="E13" t="inlineStr">
        <is>
          <t>Sanquianga</t>
        </is>
      </c>
      <c r="F13" t="inlineStr">
        <is>
          <t>Córdoba</t>
        </is>
      </c>
      <c r="N13" t="inlineStr">
        <is>
          <t>Otro</t>
        </is>
      </c>
      <c r="P13" t="inlineStr">
        <is>
          <t>Pasto</t>
        </is>
      </c>
      <c r="Q13" t="inlineStr">
        <is>
          <t>Comuna 12</t>
        </is>
      </c>
      <c r="S13" t="inlineStr">
        <is>
          <t>Pasto</t>
        </is>
      </c>
      <c r="T13" t="inlineStr">
        <is>
          <t>Alcaldia de Pasto - Cam</t>
        </is>
      </c>
      <c r="V13" t="inlineStr">
        <is>
          <t>Barbacoas</t>
        </is>
      </c>
      <c r="W13" t="inlineStr">
        <is>
          <t>Altaquer</t>
        </is>
      </c>
      <c r="Y13" t="inlineStr">
        <is>
          <t>Albán</t>
        </is>
      </c>
      <c r="Z13" t="inlineStr">
        <is>
          <t>Guarangal</t>
        </is>
      </c>
    </row>
    <row r="14">
      <c r="A14" t="inlineStr">
        <is>
          <t>Cuaspud Carlosama</t>
        </is>
      </c>
      <c r="B14" t="inlineStr">
        <is>
          <t>52224</t>
        </is>
      </c>
      <c r="C14" t="inlineStr">
        <is>
          <t>Obando</t>
        </is>
      </c>
      <c r="E14" t="inlineStr">
        <is>
          <t>Telembí</t>
        </is>
      </c>
      <c r="F14" t="inlineStr">
        <is>
          <t>Cuaspud Carlosama</t>
        </is>
      </c>
      <c r="N14" t="inlineStr">
        <is>
          <t>No registra</t>
        </is>
      </c>
      <c r="P14" t="inlineStr">
        <is>
          <t>San Andrés de Tumaco</t>
        </is>
      </c>
      <c r="Q14" t="inlineStr">
        <is>
          <t>Comuna 1</t>
        </is>
      </c>
      <c r="S14" t="inlineStr">
        <is>
          <t>Pasto</t>
        </is>
      </c>
      <c r="T14" t="inlineStr">
        <is>
          <t>Altamira</t>
        </is>
      </c>
      <c r="V14" t="inlineStr">
        <is>
          <t>Barbacoas</t>
        </is>
      </c>
      <c r="W14" t="inlineStr">
        <is>
          <t>Cargazon</t>
        </is>
      </c>
      <c r="Y14" t="inlineStr">
        <is>
          <t>Albán</t>
        </is>
      </c>
      <c r="Z14" t="inlineStr">
        <is>
          <t>La Primavera</t>
        </is>
      </c>
    </row>
    <row r="15">
      <c r="A15" t="inlineStr">
        <is>
          <t>Cumbal</t>
        </is>
      </c>
      <c r="B15" t="inlineStr">
        <is>
          <t>52227</t>
        </is>
      </c>
      <c r="C15" t="inlineStr">
        <is>
          <t>Obando</t>
        </is>
      </c>
      <c r="F15" t="inlineStr">
        <is>
          <t>Cumbal</t>
        </is>
      </c>
      <c r="P15" t="inlineStr">
        <is>
          <t>San Andrés de Tumaco</t>
        </is>
      </c>
      <c r="Q15" t="inlineStr">
        <is>
          <t>Comuna 2</t>
        </is>
      </c>
      <c r="S15" t="inlineStr">
        <is>
          <t>Pasto</t>
        </is>
      </c>
      <c r="T15" t="inlineStr">
        <is>
          <t>Altos de Chapalito</t>
        </is>
      </c>
      <c r="V15" t="inlineStr">
        <is>
          <t>Barbacoas</t>
        </is>
      </c>
      <c r="W15" t="inlineStr">
        <is>
          <t>Cascajero</t>
        </is>
      </c>
      <c r="Y15" t="inlineStr">
        <is>
          <t>Albán</t>
        </is>
      </c>
      <c r="Z15" t="inlineStr">
        <is>
          <t>San Bosco</t>
        </is>
      </c>
    </row>
    <row r="16">
      <c r="A16" t="inlineStr">
        <is>
          <t>Cumbitara</t>
        </is>
      </c>
      <c r="B16" t="inlineStr">
        <is>
          <t>52233</t>
        </is>
      </c>
      <c r="C16" t="inlineStr">
        <is>
          <t>La Cordillera</t>
        </is>
      </c>
      <c r="F16" t="inlineStr">
        <is>
          <t>Cumbitara</t>
        </is>
      </c>
      <c r="P16" t="inlineStr">
        <is>
          <t>San Andrés de Tumaco</t>
        </is>
      </c>
      <c r="Q16" t="inlineStr">
        <is>
          <t>Comuna 3</t>
        </is>
      </c>
      <c r="S16" t="inlineStr">
        <is>
          <t>Pasto</t>
        </is>
      </c>
      <c r="T16" t="inlineStr">
        <is>
          <t>Altos de Chapalito Ii</t>
        </is>
      </c>
      <c r="V16" t="inlineStr">
        <is>
          <t>Barbacoas</t>
        </is>
      </c>
      <c r="W16" t="inlineStr">
        <is>
          <t>Chalchal</t>
        </is>
      </c>
      <c r="Y16" t="inlineStr">
        <is>
          <t>Albán</t>
        </is>
      </c>
      <c r="Z16" t="inlineStr">
        <is>
          <t>San Luis</t>
        </is>
      </c>
    </row>
    <row r="17">
      <c r="A17" t="inlineStr">
        <is>
          <t>El Charco</t>
        </is>
      </c>
      <c r="B17" t="inlineStr">
        <is>
          <t>52250</t>
        </is>
      </c>
      <c r="C17" t="inlineStr">
        <is>
          <t>Sanquianga</t>
        </is>
      </c>
      <c r="F17" t="inlineStr">
        <is>
          <t>El Charco</t>
        </is>
      </c>
      <c r="P17" t="inlineStr">
        <is>
          <t>San Andrés de Tumaco</t>
        </is>
      </c>
      <c r="Q17" t="inlineStr">
        <is>
          <t>Comuna 4</t>
        </is>
      </c>
      <c r="S17" t="inlineStr">
        <is>
          <t>Pasto</t>
        </is>
      </c>
      <c r="T17" t="inlineStr">
        <is>
          <t>Altos de Chapalito Iii</t>
        </is>
      </c>
      <c r="V17" t="inlineStr">
        <is>
          <t>Barbacoas</t>
        </is>
      </c>
      <c r="W17" t="inlineStr">
        <is>
          <t>Diaguillo</t>
        </is>
      </c>
      <c r="Y17" t="inlineStr">
        <is>
          <t>Albán</t>
        </is>
      </c>
      <c r="Z17" t="inlineStr">
        <is>
          <t>Tambo Alto</t>
        </is>
      </c>
    </row>
    <row r="18">
      <c r="A18" t="inlineStr">
        <is>
          <t>El Peñol</t>
        </is>
      </c>
      <c r="B18" t="inlineStr">
        <is>
          <t>52254</t>
        </is>
      </c>
      <c r="C18" t="inlineStr">
        <is>
          <t>Guambuyaco</t>
        </is>
      </c>
      <c r="F18" t="inlineStr">
        <is>
          <t>El Peñol</t>
        </is>
      </c>
      <c r="P18" t="inlineStr">
        <is>
          <t>San Andrés de Tumaco</t>
        </is>
      </c>
      <c r="Q18" t="inlineStr">
        <is>
          <t>Comuna 5</t>
        </is>
      </c>
      <c r="S18" t="inlineStr">
        <is>
          <t>Pasto</t>
        </is>
      </c>
      <c r="T18" t="inlineStr">
        <is>
          <t>Altos de la Carolina</t>
        </is>
      </c>
      <c r="V18" t="inlineStr">
        <is>
          <t>Barbacoas</t>
        </is>
      </c>
      <c r="W18" t="inlineStr">
        <is>
          <t>El Diviso</t>
        </is>
      </c>
      <c r="Y18" t="inlineStr">
        <is>
          <t>Albán</t>
        </is>
      </c>
      <c r="Z18" t="inlineStr">
        <is>
          <t>Tambo Bajo</t>
        </is>
      </c>
    </row>
    <row r="19">
      <c r="A19" t="inlineStr">
        <is>
          <t>El Rosario</t>
        </is>
      </c>
      <c r="B19" t="inlineStr">
        <is>
          <t>52256</t>
        </is>
      </c>
      <c r="C19" t="inlineStr">
        <is>
          <t>La Cordillera</t>
        </is>
      </c>
      <c r="F19" t="inlineStr">
        <is>
          <t>El Rosario</t>
        </is>
      </c>
      <c r="S19" t="inlineStr">
        <is>
          <t>Pasto</t>
        </is>
      </c>
      <c r="T19" t="inlineStr">
        <is>
          <t>Altos de la Colina</t>
        </is>
      </c>
      <c r="V19" t="inlineStr">
        <is>
          <t>Barbacoas</t>
        </is>
      </c>
      <c r="W19" t="inlineStr">
        <is>
          <t>Junín</t>
        </is>
      </c>
      <c r="Y19" t="inlineStr">
        <is>
          <t>Albán</t>
        </is>
      </c>
      <c r="Z19" t="inlineStr">
        <is>
          <t>Viña</t>
        </is>
      </c>
    </row>
    <row r="20">
      <c r="A20" t="inlineStr">
        <is>
          <t>El Tablón de Gómez</t>
        </is>
      </c>
      <c r="B20" t="inlineStr">
        <is>
          <t>52258</t>
        </is>
      </c>
      <c r="C20" t="inlineStr">
        <is>
          <t>Río Mayo</t>
        </is>
      </c>
      <c r="F20" t="inlineStr">
        <is>
          <t>El Tablón de Gómez</t>
        </is>
      </c>
      <c r="S20" t="inlineStr">
        <is>
          <t>Pasto</t>
        </is>
      </c>
      <c r="T20" t="inlineStr">
        <is>
          <t>Altos de la Floresta</t>
        </is>
      </c>
      <c r="V20" t="inlineStr">
        <is>
          <t>Barbacoas</t>
        </is>
      </c>
      <c r="W20" t="inlineStr">
        <is>
          <t>La Playa</t>
        </is>
      </c>
      <c r="Y20" t="inlineStr">
        <is>
          <t>Aldana</t>
        </is>
      </c>
      <c r="Z20" t="inlineStr">
        <is>
          <t>Caupueran</t>
        </is>
      </c>
    </row>
    <row r="21">
      <c r="A21" t="inlineStr">
        <is>
          <t>El Tambo</t>
        </is>
      </c>
      <c r="B21" t="inlineStr">
        <is>
          <t>52260</t>
        </is>
      </c>
      <c r="C21" t="inlineStr">
        <is>
          <t>Guambuyaco</t>
        </is>
      </c>
      <c r="F21" t="inlineStr">
        <is>
          <t>El Tambo</t>
        </is>
      </c>
      <c r="S21" t="inlineStr">
        <is>
          <t>Pasto</t>
        </is>
      </c>
      <c r="T21" t="inlineStr">
        <is>
          <t>Altos de las Mercedes</t>
        </is>
      </c>
      <c r="V21" t="inlineStr">
        <is>
          <t>Barbacoas</t>
        </is>
      </c>
      <c r="W21" t="inlineStr">
        <is>
          <t>Los Brazos</t>
        </is>
      </c>
      <c r="Y21" t="inlineStr">
        <is>
          <t>Aldana</t>
        </is>
      </c>
      <c r="Z21" t="inlineStr">
        <is>
          <t>Chapuesmal</t>
        </is>
      </c>
    </row>
    <row r="22">
      <c r="A22" t="inlineStr">
        <is>
          <t>Francisco Pizarro</t>
        </is>
      </c>
      <c r="B22" t="inlineStr">
        <is>
          <t>52520</t>
        </is>
      </c>
      <c r="C22" t="inlineStr">
        <is>
          <t>Pacífico Sur</t>
        </is>
      </c>
      <c r="F22" t="inlineStr">
        <is>
          <t>Francisco Pizarro</t>
        </is>
      </c>
      <c r="S22" t="inlineStr">
        <is>
          <t>Pasto</t>
        </is>
      </c>
      <c r="T22" t="inlineStr">
        <is>
          <t>Altos del Campo</t>
        </is>
      </c>
      <c r="V22" t="inlineStr">
        <is>
          <t>Barbacoas</t>
        </is>
      </c>
      <c r="W22" t="inlineStr">
        <is>
          <t>Mongón</t>
        </is>
      </c>
      <c r="Y22" t="inlineStr">
        <is>
          <t>Aldana</t>
        </is>
      </c>
      <c r="Z22" t="inlineStr">
        <is>
          <t>Chaquilulo</t>
        </is>
      </c>
    </row>
    <row r="23">
      <c r="A23" t="inlineStr">
        <is>
          <t>Funes</t>
        </is>
      </c>
      <c r="B23" t="inlineStr">
        <is>
          <t>52287</t>
        </is>
      </c>
      <c r="C23" t="inlineStr">
        <is>
          <t>Obando</t>
        </is>
      </c>
      <c r="F23" t="inlineStr">
        <is>
          <t>Funes</t>
        </is>
      </c>
      <c r="S23" t="inlineStr">
        <is>
          <t>Pasto</t>
        </is>
      </c>
      <c r="T23" t="inlineStr">
        <is>
          <t>Altos del Lorenzo</t>
        </is>
      </c>
      <c r="V23" t="inlineStr">
        <is>
          <t>Barbacoas</t>
        </is>
      </c>
      <c r="W23" t="inlineStr">
        <is>
          <t>Ñambí</t>
        </is>
      </c>
      <c r="Y23" t="inlineStr">
        <is>
          <t>Aldana</t>
        </is>
      </c>
      <c r="Z23" t="inlineStr">
        <is>
          <t>Chitaira</t>
        </is>
      </c>
    </row>
    <row r="24">
      <c r="A24" t="inlineStr">
        <is>
          <t>Guachucal</t>
        </is>
      </c>
      <c r="B24" t="inlineStr">
        <is>
          <t>52317</t>
        </is>
      </c>
      <c r="C24" t="inlineStr">
        <is>
          <t>Obando</t>
        </is>
      </c>
      <c r="F24" t="inlineStr">
        <is>
          <t>Guachucal</t>
        </is>
      </c>
      <c r="S24" t="inlineStr">
        <is>
          <t>Pasto</t>
        </is>
      </c>
      <c r="T24" t="inlineStr">
        <is>
          <t>Americas Norte</t>
        </is>
      </c>
      <c r="V24" t="inlineStr">
        <is>
          <t>Barbacoas</t>
        </is>
      </c>
      <c r="W24" t="inlineStr">
        <is>
          <t>Palo Seco</t>
        </is>
      </c>
      <c r="Y24" t="inlineStr">
        <is>
          <t>Aldana</t>
        </is>
      </c>
      <c r="Z24" t="inlineStr">
        <is>
          <t>Chorillo</t>
        </is>
      </c>
    </row>
    <row r="25">
      <c r="A25" t="inlineStr">
        <is>
          <t>Guaitarilla</t>
        </is>
      </c>
      <c r="B25" t="inlineStr">
        <is>
          <t>52320</t>
        </is>
      </c>
      <c r="C25" t="inlineStr">
        <is>
          <t>La Sabana</t>
        </is>
      </c>
      <c r="F25" t="inlineStr">
        <is>
          <t>Guaitarilla</t>
        </is>
      </c>
      <c r="S25" t="inlineStr">
        <is>
          <t>Pasto</t>
        </is>
      </c>
      <c r="T25" t="inlineStr">
        <is>
          <t>Anganoy</t>
        </is>
      </c>
      <c r="V25" t="inlineStr">
        <is>
          <t>Barbacoas</t>
        </is>
      </c>
      <c r="W25" t="inlineStr">
        <is>
          <t>Pambana</t>
        </is>
      </c>
      <c r="Y25" t="inlineStr">
        <is>
          <t>Aldana</t>
        </is>
      </c>
      <c r="Z25" t="inlineStr">
        <is>
          <t>El Rosa</t>
        </is>
      </c>
    </row>
    <row r="26">
      <c r="A26" t="inlineStr">
        <is>
          <t>Gualmatán</t>
        </is>
      </c>
      <c r="B26" t="inlineStr">
        <is>
          <t>52323</t>
        </is>
      </c>
      <c r="C26" t="inlineStr">
        <is>
          <t>Obando</t>
        </is>
      </c>
      <c r="F26" t="inlineStr">
        <is>
          <t>Gualmatán</t>
        </is>
      </c>
      <c r="S26" t="inlineStr">
        <is>
          <t>Pasto</t>
        </is>
      </c>
      <c r="T26" t="inlineStr">
        <is>
          <t>Aquine Alto I</t>
        </is>
      </c>
      <c r="V26" t="inlineStr">
        <is>
          <t>Barbacoas</t>
        </is>
      </c>
      <c r="W26" t="inlineStr">
        <is>
          <t>Paunde</t>
        </is>
      </c>
      <c r="Y26" t="inlineStr">
        <is>
          <t>Aldana</t>
        </is>
      </c>
      <c r="Z26" t="inlineStr">
        <is>
          <t>Guespud</t>
        </is>
      </c>
    </row>
    <row r="27">
      <c r="A27" t="inlineStr">
        <is>
          <t>Iles</t>
        </is>
      </c>
      <c r="B27" t="inlineStr">
        <is>
          <t>52352</t>
        </is>
      </c>
      <c r="C27" t="inlineStr">
        <is>
          <t>Obando</t>
        </is>
      </c>
      <c r="F27" t="inlineStr">
        <is>
          <t>Iles</t>
        </is>
      </c>
      <c r="S27" t="inlineStr">
        <is>
          <t>Pasto</t>
        </is>
      </c>
      <c r="T27" t="inlineStr">
        <is>
          <t>Aquine Alto Ii</t>
        </is>
      </c>
      <c r="V27" t="inlineStr">
        <is>
          <t>Barbacoas</t>
        </is>
      </c>
      <c r="W27" t="inlineStr">
        <is>
          <t>Salí</t>
        </is>
      </c>
      <c r="Y27" t="inlineStr">
        <is>
          <t>Aldana</t>
        </is>
      </c>
      <c r="Z27" t="inlineStr">
        <is>
          <t>La Laguna</t>
        </is>
      </c>
    </row>
    <row r="28">
      <c r="A28" t="inlineStr">
        <is>
          <t>Imués</t>
        </is>
      </c>
      <c r="B28" t="inlineStr">
        <is>
          <t>52354</t>
        </is>
      </c>
      <c r="C28" t="inlineStr">
        <is>
          <t>La Sabana</t>
        </is>
      </c>
      <c r="F28" t="inlineStr">
        <is>
          <t>Imués</t>
        </is>
      </c>
      <c r="S28" t="inlineStr">
        <is>
          <t>Pasto</t>
        </is>
      </c>
      <c r="T28" t="inlineStr">
        <is>
          <t>Aquine I</t>
        </is>
      </c>
      <c r="V28" t="inlineStr">
        <is>
          <t>Barbacoas</t>
        </is>
      </c>
      <c r="W28" t="inlineStr">
        <is>
          <t>San Juan Palacio</t>
        </is>
      </c>
      <c r="Y28" t="inlineStr">
        <is>
          <t>Aldana</t>
        </is>
      </c>
      <c r="Z28" t="inlineStr">
        <is>
          <t>Muesas</t>
        </is>
      </c>
    </row>
    <row r="29">
      <c r="A29" t="inlineStr">
        <is>
          <t>Ipiales</t>
        </is>
      </c>
      <c r="B29" t="inlineStr">
        <is>
          <t>52356</t>
        </is>
      </c>
      <c r="C29" t="inlineStr">
        <is>
          <t>Obando</t>
        </is>
      </c>
      <c r="F29" t="inlineStr">
        <is>
          <t>Ipiales</t>
        </is>
      </c>
      <c r="S29" t="inlineStr">
        <is>
          <t>Pasto</t>
        </is>
      </c>
      <c r="T29" t="inlineStr">
        <is>
          <t>Aquine Ii</t>
        </is>
      </c>
      <c r="V29" t="inlineStr">
        <is>
          <t>Barbacoas</t>
        </is>
      </c>
      <c r="W29" t="inlineStr">
        <is>
          <t>San Miguel Nambí</t>
        </is>
      </c>
      <c r="Y29" t="inlineStr">
        <is>
          <t>Aldana</t>
        </is>
      </c>
      <c r="Z29" t="inlineStr">
        <is>
          <t>Pambarrosa</t>
        </is>
      </c>
    </row>
    <row r="30">
      <c r="A30" t="inlineStr">
        <is>
          <t>La Cruz</t>
        </is>
      </c>
      <c r="B30" t="inlineStr">
        <is>
          <t>52378</t>
        </is>
      </c>
      <c r="C30" t="inlineStr">
        <is>
          <t>Río Mayo</t>
        </is>
      </c>
      <c r="F30" t="inlineStr">
        <is>
          <t>La Cruz</t>
        </is>
      </c>
      <c r="S30" t="inlineStr">
        <is>
          <t>Pasto</t>
        </is>
      </c>
      <c r="T30" t="inlineStr">
        <is>
          <t>Aquine Iii</t>
        </is>
      </c>
      <c r="V30" t="inlineStr">
        <is>
          <t>Barbacoas</t>
        </is>
      </c>
      <c r="W30" t="inlineStr">
        <is>
          <t>Sucre Guinulte</t>
        </is>
      </c>
      <c r="Y30" t="inlineStr">
        <is>
          <t>Aldana</t>
        </is>
      </c>
      <c r="Z30" t="inlineStr">
        <is>
          <t>San Luis</t>
        </is>
      </c>
    </row>
    <row r="31">
      <c r="A31" t="inlineStr">
        <is>
          <t>La Florida</t>
        </is>
      </c>
      <c r="B31" t="inlineStr">
        <is>
          <t>52381</t>
        </is>
      </c>
      <c r="C31" t="inlineStr">
        <is>
          <t>Centro</t>
        </is>
      </c>
      <c r="F31" t="inlineStr">
        <is>
          <t>La Florida</t>
        </is>
      </c>
      <c r="S31" t="inlineStr">
        <is>
          <t>Pasto</t>
        </is>
      </c>
      <c r="T31" t="inlineStr">
        <is>
          <t>Aquine Iv</t>
        </is>
      </c>
      <c r="V31" t="inlineStr">
        <is>
          <t>Barbacoas</t>
        </is>
      </c>
      <c r="W31" t="inlineStr">
        <is>
          <t>Teraimbe</t>
        </is>
      </c>
      <c r="Y31" t="inlineStr">
        <is>
          <t>Aldana</t>
        </is>
      </c>
      <c r="Z31" t="inlineStr">
        <is>
          <t>Santa Barbara</t>
        </is>
      </c>
    </row>
    <row r="32">
      <c r="A32" t="inlineStr">
        <is>
          <t>La Llanada</t>
        </is>
      </c>
      <c r="B32" t="inlineStr">
        <is>
          <t>52385</t>
        </is>
      </c>
      <c r="C32" t="inlineStr">
        <is>
          <t>Guambuyaco</t>
        </is>
      </c>
      <c r="F32" t="inlineStr">
        <is>
          <t>La Llanada</t>
        </is>
      </c>
      <c r="S32" t="inlineStr">
        <is>
          <t>Pasto</t>
        </is>
      </c>
      <c r="T32" t="inlineStr">
        <is>
          <t>Aquine Reservado</t>
        </is>
      </c>
      <c r="V32" t="inlineStr">
        <is>
          <t>Barbacoas</t>
        </is>
      </c>
      <c r="W32" t="inlineStr">
        <is>
          <t>Yalare</t>
        </is>
      </c>
      <c r="Y32" t="inlineStr">
        <is>
          <t>Ancuya</t>
        </is>
      </c>
      <c r="Z32" t="inlineStr">
        <is>
          <t>El Pedregal</t>
        </is>
      </c>
    </row>
    <row r="33">
      <c r="A33" t="inlineStr">
        <is>
          <t>La Tola</t>
        </is>
      </c>
      <c r="B33" t="inlineStr">
        <is>
          <t>52390</t>
        </is>
      </c>
      <c r="C33" t="inlineStr">
        <is>
          <t>Sanquianga</t>
        </is>
      </c>
      <c r="F33" t="inlineStr">
        <is>
          <t>La Tola</t>
        </is>
      </c>
      <c r="S33" t="inlineStr">
        <is>
          <t>Pasto</t>
        </is>
      </c>
      <c r="T33" t="inlineStr">
        <is>
          <t>Aranda</t>
        </is>
      </c>
      <c r="V33" t="inlineStr">
        <is>
          <t>Belén</t>
        </is>
      </c>
      <c r="W33" t="inlineStr">
        <is>
          <t>Santa Rosa</t>
        </is>
      </c>
      <c r="Y33" t="inlineStr">
        <is>
          <t>Ancuya</t>
        </is>
      </c>
      <c r="Z33" t="inlineStr">
        <is>
          <t>Quinua</t>
        </is>
      </c>
    </row>
    <row r="34">
      <c r="A34" t="inlineStr">
        <is>
          <t>La Unión</t>
        </is>
      </c>
      <c r="B34" t="inlineStr">
        <is>
          <t>52399</t>
        </is>
      </c>
      <c r="C34" t="inlineStr">
        <is>
          <t>Juanambú</t>
        </is>
      </c>
      <c r="F34" t="inlineStr">
        <is>
          <t>La Unión</t>
        </is>
      </c>
      <c r="S34" t="inlineStr">
        <is>
          <t>Pasto</t>
        </is>
      </c>
      <c r="T34" t="inlineStr">
        <is>
          <t>Arco Iris</t>
        </is>
      </c>
      <c r="V34" t="inlineStr">
        <is>
          <t>Buesaco</t>
        </is>
      </c>
      <c r="W34" t="inlineStr">
        <is>
          <t>Altaclara</t>
        </is>
      </c>
      <c r="Y34" t="inlineStr">
        <is>
          <t>Ancuya</t>
        </is>
      </c>
      <c r="Z34" t="inlineStr">
        <is>
          <t>Torrencilla</t>
        </is>
      </c>
    </row>
    <row r="35">
      <c r="A35" t="inlineStr">
        <is>
          <t>Leiva</t>
        </is>
      </c>
      <c r="B35" t="inlineStr">
        <is>
          <t>52405</t>
        </is>
      </c>
      <c r="C35" t="inlineStr">
        <is>
          <t>La Cordillera</t>
        </is>
      </c>
      <c r="F35" t="inlineStr">
        <is>
          <t>Leiva</t>
        </is>
      </c>
      <c r="S35" t="inlineStr">
        <is>
          <t>Pasto</t>
        </is>
      </c>
      <c r="T35" t="inlineStr">
        <is>
          <t>Arnulfo Guerrero</t>
        </is>
      </c>
      <c r="V35" t="inlineStr">
        <is>
          <t>Buesaco</t>
        </is>
      </c>
      <c r="W35" t="inlineStr">
        <is>
          <t>Juanambú</t>
        </is>
      </c>
      <c r="Y35" t="inlineStr">
        <is>
          <t>Arboleda</t>
        </is>
      </c>
      <c r="Z35" t="inlineStr">
        <is>
          <t>Alto San Pedro</t>
        </is>
      </c>
    </row>
    <row r="36">
      <c r="A36" t="inlineStr">
        <is>
          <t>Linares</t>
        </is>
      </c>
      <c r="B36" t="inlineStr">
        <is>
          <t>52411</t>
        </is>
      </c>
      <c r="C36" t="inlineStr">
        <is>
          <t>Occidente</t>
        </is>
      </c>
      <c r="F36" t="inlineStr">
        <is>
          <t>Linares</t>
        </is>
      </c>
      <c r="S36" t="inlineStr">
        <is>
          <t>Pasto</t>
        </is>
      </c>
      <c r="T36" t="inlineStr">
        <is>
          <t>Atahualpa</t>
        </is>
      </c>
      <c r="V36" t="inlineStr">
        <is>
          <t>Buesaco</t>
        </is>
      </c>
      <c r="W36" t="inlineStr">
        <is>
          <t>Palasinoy</t>
        </is>
      </c>
      <c r="Y36" t="inlineStr">
        <is>
          <t>Arboleda</t>
        </is>
      </c>
      <c r="Z36" t="inlineStr">
        <is>
          <t>Arrayanes</t>
        </is>
      </c>
    </row>
    <row r="37">
      <c r="A37" t="inlineStr">
        <is>
          <t>Los Andes</t>
        </is>
      </c>
      <c r="B37" t="inlineStr">
        <is>
          <t>52418</t>
        </is>
      </c>
      <c r="C37" t="inlineStr">
        <is>
          <t>Guambuyaco</t>
        </is>
      </c>
      <c r="F37" t="inlineStr">
        <is>
          <t>Los Andes</t>
        </is>
      </c>
      <c r="S37" t="inlineStr">
        <is>
          <t>Pasto</t>
        </is>
      </c>
      <c r="T37" t="inlineStr">
        <is>
          <t>Av Boyaca</t>
        </is>
      </c>
      <c r="V37" t="inlineStr">
        <is>
          <t>Buesaco</t>
        </is>
      </c>
      <c r="W37" t="inlineStr">
        <is>
          <t>Rosal del Monte</t>
        </is>
      </c>
      <c r="Y37" t="inlineStr">
        <is>
          <t>Arboleda</t>
        </is>
      </c>
      <c r="Z37" t="inlineStr">
        <is>
          <t>Berruecos</t>
        </is>
      </c>
    </row>
    <row r="38">
      <c r="A38" t="inlineStr">
        <is>
          <t>Magüí</t>
        </is>
      </c>
      <c r="B38" t="inlineStr">
        <is>
          <t>52427</t>
        </is>
      </c>
      <c r="C38" t="inlineStr">
        <is>
          <t>Telembí</t>
        </is>
      </c>
      <c r="F38" t="inlineStr">
        <is>
          <t>Magüí</t>
        </is>
      </c>
      <c r="S38" t="inlineStr">
        <is>
          <t>Pasto</t>
        </is>
      </c>
      <c r="T38" t="inlineStr">
        <is>
          <t>Av Champagnat</t>
        </is>
      </c>
      <c r="V38" t="inlineStr">
        <is>
          <t>Buesaco</t>
        </is>
      </c>
      <c r="W38" t="inlineStr">
        <is>
          <t>San Antonio</t>
        </is>
      </c>
      <c r="Y38" t="inlineStr">
        <is>
          <t>Arboleda</t>
        </is>
      </c>
      <c r="Z38" t="inlineStr">
        <is>
          <t>Chiriurco</t>
        </is>
      </c>
    </row>
    <row r="39">
      <c r="A39" t="inlineStr">
        <is>
          <t>Mallama</t>
        </is>
      </c>
      <c r="B39" t="inlineStr">
        <is>
          <t>52435</t>
        </is>
      </c>
      <c r="C39" t="inlineStr">
        <is>
          <t>Piedemonte Costero</t>
        </is>
      </c>
      <c r="F39" t="inlineStr">
        <is>
          <t>Mallama</t>
        </is>
      </c>
      <c r="S39" t="inlineStr">
        <is>
          <t>Pasto</t>
        </is>
      </c>
      <c r="T39" t="inlineStr">
        <is>
          <t>Av Chile</t>
        </is>
      </c>
      <c r="V39" t="inlineStr">
        <is>
          <t>Buesaco</t>
        </is>
      </c>
      <c r="W39" t="inlineStr">
        <is>
          <t>San Ignacio</t>
        </is>
      </c>
      <c r="Y39" t="inlineStr">
        <is>
          <t>Arboleda</t>
        </is>
      </c>
      <c r="Z39" t="inlineStr">
        <is>
          <t>El Empate</t>
        </is>
      </c>
    </row>
    <row r="40">
      <c r="A40" t="inlineStr">
        <is>
          <t>Mosquera</t>
        </is>
      </c>
      <c r="B40" t="inlineStr">
        <is>
          <t>52473</t>
        </is>
      </c>
      <c r="C40" t="inlineStr">
        <is>
          <t>Sanquianga</t>
        </is>
      </c>
      <c r="F40" t="inlineStr">
        <is>
          <t>Mosquera</t>
        </is>
      </c>
      <c r="S40" t="inlineStr">
        <is>
          <t>Pasto</t>
        </is>
      </c>
      <c r="T40" t="inlineStr">
        <is>
          <t>Av Colombia</t>
        </is>
      </c>
      <c r="V40" t="inlineStr">
        <is>
          <t>Buesaco</t>
        </is>
      </c>
      <c r="W40" t="inlineStr">
        <is>
          <t>San Miguel Santafé</t>
        </is>
      </c>
      <c r="Y40" t="inlineStr">
        <is>
          <t>Arboleda</t>
        </is>
      </c>
      <c r="Z40" t="inlineStr">
        <is>
          <t>El Limar</t>
        </is>
      </c>
    </row>
    <row r="41">
      <c r="A41" t="inlineStr">
        <is>
          <t>Nariño</t>
        </is>
      </c>
      <c r="B41" t="inlineStr">
        <is>
          <t>52480</t>
        </is>
      </c>
      <c r="C41" t="inlineStr">
        <is>
          <t>Centro</t>
        </is>
      </c>
      <c r="F41" t="inlineStr">
        <is>
          <t>Nariño</t>
        </is>
      </c>
      <c r="S41" t="inlineStr">
        <is>
          <t>Pasto</t>
        </is>
      </c>
      <c r="T41" t="inlineStr">
        <is>
          <t>Av Idema</t>
        </is>
      </c>
      <c r="V41" t="inlineStr">
        <is>
          <t>Buesaco</t>
        </is>
      </c>
      <c r="W41" t="inlineStr">
        <is>
          <t>Santafé</t>
        </is>
      </c>
      <c r="Y41" t="inlineStr">
        <is>
          <t>Arboleda</t>
        </is>
      </c>
      <c r="Z41" t="inlineStr">
        <is>
          <t>El Olivo</t>
        </is>
      </c>
    </row>
    <row r="42">
      <c r="A42" t="inlineStr">
        <is>
          <t>Olaya Herrera</t>
        </is>
      </c>
      <c r="B42" t="inlineStr">
        <is>
          <t>52490</t>
        </is>
      </c>
      <c r="C42" t="inlineStr">
        <is>
          <t>Sanquianga</t>
        </is>
      </c>
      <c r="F42" t="inlineStr">
        <is>
          <t>Olaya Herrera</t>
        </is>
      </c>
      <c r="S42" t="inlineStr">
        <is>
          <t>Pasto</t>
        </is>
      </c>
      <c r="T42" t="inlineStr">
        <is>
          <t>Av Julian Buchelli</t>
        </is>
      </c>
      <c r="V42" t="inlineStr">
        <is>
          <t>Buesaco</t>
        </is>
      </c>
      <c r="W42" t="inlineStr">
        <is>
          <t>Santamaría</t>
        </is>
      </c>
      <c r="Y42" t="inlineStr">
        <is>
          <t>Arboleda</t>
        </is>
      </c>
      <c r="Z42" t="inlineStr">
        <is>
          <t>El Pedregal</t>
        </is>
      </c>
    </row>
    <row r="43">
      <c r="A43" t="inlineStr">
        <is>
          <t>Ospina</t>
        </is>
      </c>
      <c r="B43" t="inlineStr">
        <is>
          <t>52506</t>
        </is>
      </c>
      <c r="C43" t="inlineStr">
        <is>
          <t>La Sabana</t>
        </is>
      </c>
      <c r="F43" t="inlineStr">
        <is>
          <t>Ospina</t>
        </is>
      </c>
      <c r="S43" t="inlineStr">
        <is>
          <t>Pasto</t>
        </is>
      </c>
      <c r="T43" t="inlineStr">
        <is>
          <t>Av los Estudiantes</t>
        </is>
      </c>
      <c r="V43" t="inlineStr">
        <is>
          <t>Buesaco</t>
        </is>
      </c>
      <c r="W43" t="inlineStr">
        <is>
          <t>Veracruz</t>
        </is>
      </c>
      <c r="Y43" t="inlineStr">
        <is>
          <t>Arboleda</t>
        </is>
      </c>
      <c r="Z43" t="inlineStr">
        <is>
          <t>El Tauso</t>
        </is>
      </c>
    </row>
    <row r="44">
      <c r="A44" t="inlineStr">
        <is>
          <t>Pasto</t>
        </is>
      </c>
      <c r="B44" t="inlineStr">
        <is>
          <t>52001</t>
        </is>
      </c>
      <c r="C44" t="inlineStr">
        <is>
          <t>Centro</t>
        </is>
      </c>
      <c r="F44" t="inlineStr">
        <is>
          <t>Pasto</t>
        </is>
      </c>
      <c r="S44" t="inlineStr">
        <is>
          <t>Pasto</t>
        </is>
      </c>
      <c r="T44" t="inlineStr">
        <is>
          <t>Av Mijitayo</t>
        </is>
      </c>
      <c r="V44" t="inlineStr">
        <is>
          <t>Buesaco</t>
        </is>
      </c>
      <c r="W44" t="inlineStr">
        <is>
          <t>Villamoreno</t>
        </is>
      </c>
      <c r="Y44" t="inlineStr">
        <is>
          <t>Arboleda</t>
        </is>
      </c>
      <c r="Z44" t="inlineStr">
        <is>
          <t>El Volador</t>
        </is>
      </c>
    </row>
    <row r="45">
      <c r="A45" t="inlineStr">
        <is>
          <t>Policarpa</t>
        </is>
      </c>
      <c r="B45" t="inlineStr">
        <is>
          <t>52540</t>
        </is>
      </c>
      <c r="C45" t="inlineStr">
        <is>
          <t>La Cordillera</t>
        </is>
      </c>
      <c r="F45" t="inlineStr">
        <is>
          <t>Policarpa</t>
        </is>
      </c>
      <c r="S45" t="inlineStr">
        <is>
          <t>Pasto</t>
        </is>
      </c>
      <c r="T45" t="inlineStr">
        <is>
          <t>Av Santander</t>
        </is>
      </c>
      <c r="V45" t="inlineStr">
        <is>
          <t>Chachagüí</t>
        </is>
      </c>
      <c r="W45" t="inlineStr">
        <is>
          <t>Agrario</t>
        </is>
      </c>
      <c r="Y45" t="inlineStr">
        <is>
          <t>Arboleda</t>
        </is>
      </c>
      <c r="Z45" t="inlineStr">
        <is>
          <t>La Cañada</t>
        </is>
      </c>
    </row>
    <row r="46">
      <c r="A46" t="inlineStr">
        <is>
          <t>Potosí</t>
        </is>
      </c>
      <c r="B46" t="inlineStr">
        <is>
          <t>52560</t>
        </is>
      </c>
      <c r="C46" t="inlineStr">
        <is>
          <t>Obando</t>
        </is>
      </c>
      <c r="F46" t="inlineStr">
        <is>
          <t>Potosí</t>
        </is>
      </c>
      <c r="S46" t="inlineStr">
        <is>
          <t>Pasto</t>
        </is>
      </c>
      <c r="T46" t="inlineStr">
        <is>
          <t>Bachue</t>
        </is>
      </c>
      <c r="V46" t="inlineStr">
        <is>
          <t>Chachagüí</t>
        </is>
      </c>
      <c r="W46" t="inlineStr">
        <is>
          <t>Arizona</t>
        </is>
      </c>
      <c r="Y46" t="inlineStr">
        <is>
          <t>Arboleda</t>
        </is>
      </c>
      <c r="Z46" t="inlineStr">
        <is>
          <t>La Cocha</t>
        </is>
      </c>
    </row>
    <row r="47">
      <c r="A47" t="inlineStr">
        <is>
          <t>Providencia</t>
        </is>
      </c>
      <c r="B47" t="inlineStr">
        <is>
          <t>52565</t>
        </is>
      </c>
      <c r="C47" t="inlineStr">
        <is>
          <t>Los Abades</t>
        </is>
      </c>
      <c r="F47" t="inlineStr">
        <is>
          <t>Providencia</t>
        </is>
      </c>
      <c r="S47" t="inlineStr">
        <is>
          <t>Pasto</t>
        </is>
      </c>
      <c r="T47" t="inlineStr">
        <is>
          <t>Balcones de la Pradera</t>
        </is>
      </c>
      <c r="V47" t="inlineStr">
        <is>
          <t>Chachagüí</t>
        </is>
      </c>
      <c r="W47" t="inlineStr">
        <is>
          <t>Caño Alto</t>
        </is>
      </c>
      <c r="Y47" t="inlineStr">
        <is>
          <t>Arboleda</t>
        </is>
      </c>
      <c r="Z47" t="inlineStr">
        <is>
          <t>Laguada</t>
        </is>
      </c>
    </row>
    <row r="48">
      <c r="A48" t="inlineStr">
        <is>
          <t>Puerres</t>
        </is>
      </c>
      <c r="B48" t="inlineStr">
        <is>
          <t>52573</t>
        </is>
      </c>
      <c r="C48" t="inlineStr">
        <is>
          <t>Obando</t>
        </is>
      </c>
      <c r="F48" t="inlineStr">
        <is>
          <t>Puerres</t>
        </is>
      </c>
      <c r="S48" t="inlineStr">
        <is>
          <t>Pasto</t>
        </is>
      </c>
      <c r="T48" t="inlineStr">
        <is>
          <t>Balcones de Pubenza</t>
        </is>
      </c>
      <c r="V48" t="inlineStr">
        <is>
          <t>Chachagüí</t>
        </is>
      </c>
      <c r="W48" t="inlineStr">
        <is>
          <t>Caño Bajo</t>
        </is>
      </c>
      <c r="Y48" t="inlineStr">
        <is>
          <t>Arboleda</t>
        </is>
      </c>
      <c r="Z48" t="inlineStr">
        <is>
          <t>Las Palmas</t>
        </is>
      </c>
    </row>
    <row r="49">
      <c r="A49" t="inlineStr">
        <is>
          <t>Pupiales</t>
        </is>
      </c>
      <c r="B49" t="inlineStr">
        <is>
          <t>52585</t>
        </is>
      </c>
      <c r="C49" t="inlineStr">
        <is>
          <t>Obando</t>
        </is>
      </c>
      <c r="F49" t="inlineStr">
        <is>
          <t>Pupiales</t>
        </is>
      </c>
      <c r="S49" t="inlineStr">
        <is>
          <t>Pasto</t>
        </is>
      </c>
      <c r="T49" t="inlineStr">
        <is>
          <t>Balcones de San Juan</t>
        </is>
      </c>
      <c r="V49" t="inlineStr">
        <is>
          <t>Chachagüí</t>
        </is>
      </c>
      <c r="W49" t="inlineStr">
        <is>
          <t>Chorrillo</t>
        </is>
      </c>
      <c r="Y49" t="inlineStr">
        <is>
          <t>Arboleda</t>
        </is>
      </c>
      <c r="Z49" t="inlineStr">
        <is>
          <t>Olaya</t>
        </is>
      </c>
    </row>
    <row r="50">
      <c r="A50" t="inlineStr">
        <is>
          <t>Ricaurte</t>
        </is>
      </c>
      <c r="B50" t="inlineStr">
        <is>
          <t>52612</t>
        </is>
      </c>
      <c r="C50" t="inlineStr">
        <is>
          <t>Piedemonte Costero</t>
        </is>
      </c>
      <c r="F50" t="inlineStr">
        <is>
          <t>Ricaurte</t>
        </is>
      </c>
      <c r="S50" t="inlineStr">
        <is>
          <t>Pasto</t>
        </is>
      </c>
      <c r="T50" t="inlineStr">
        <is>
          <t>Base Militar</t>
        </is>
      </c>
      <c r="V50" t="inlineStr">
        <is>
          <t>Chachagüí</t>
        </is>
      </c>
      <c r="W50" t="inlineStr">
        <is>
          <t>Cocha Cano</t>
        </is>
      </c>
      <c r="Y50" t="inlineStr">
        <is>
          <t>Arboleda</t>
        </is>
      </c>
      <c r="Z50" t="inlineStr">
        <is>
          <t>Rosa Florida Norte</t>
        </is>
      </c>
    </row>
    <row r="51">
      <c r="A51" t="inlineStr">
        <is>
          <t>Roberto Payán</t>
        </is>
      </c>
      <c r="B51" t="inlineStr">
        <is>
          <t>52621</t>
        </is>
      </c>
      <c r="C51" t="inlineStr">
        <is>
          <t>Telembí</t>
        </is>
      </c>
      <c r="F51" t="inlineStr">
        <is>
          <t>Roberto Payán</t>
        </is>
      </c>
      <c r="S51" t="inlineStr">
        <is>
          <t>Pasto</t>
        </is>
      </c>
      <c r="T51" t="inlineStr">
        <is>
          <t>Batallon Boyaca</t>
        </is>
      </c>
      <c r="V51" t="inlineStr">
        <is>
          <t>Chachagüí</t>
        </is>
      </c>
      <c r="W51" t="inlineStr">
        <is>
          <t>Guairabamba</t>
        </is>
      </c>
      <c r="Y51" t="inlineStr">
        <is>
          <t>Arboleda</t>
        </is>
      </c>
      <c r="Z51" t="inlineStr">
        <is>
          <t>Rosaflorida Sur</t>
        </is>
      </c>
    </row>
    <row r="52">
      <c r="A52" t="inlineStr">
        <is>
          <t>Samaniego</t>
        </is>
      </c>
      <c r="B52" t="inlineStr">
        <is>
          <t>52678</t>
        </is>
      </c>
      <c r="C52" t="inlineStr">
        <is>
          <t>Los Abades</t>
        </is>
      </c>
      <c r="F52" t="inlineStr">
        <is>
          <t>Samaniego</t>
        </is>
      </c>
      <c r="S52" t="inlineStr">
        <is>
          <t>Pasto</t>
        </is>
      </c>
      <c r="T52" t="inlineStr">
        <is>
          <t>Belalcazar</t>
        </is>
      </c>
      <c r="V52" t="inlineStr">
        <is>
          <t>Chachagüí</t>
        </is>
      </c>
      <c r="W52" t="inlineStr">
        <is>
          <t>La Loma</t>
        </is>
      </c>
      <c r="Y52" t="inlineStr">
        <is>
          <t>Arboleda</t>
        </is>
      </c>
      <c r="Z52" t="inlineStr">
        <is>
          <t>San Joaquin</t>
        </is>
      </c>
    </row>
    <row r="53">
      <c r="A53" t="inlineStr">
        <is>
          <t>San Andrés de Tumaco</t>
        </is>
      </c>
      <c r="B53" t="inlineStr">
        <is>
          <t>52835</t>
        </is>
      </c>
      <c r="C53" t="inlineStr">
        <is>
          <t>Pacífico Sur</t>
        </is>
      </c>
      <c r="F53" t="inlineStr">
        <is>
          <t>San Andrés de Tumaco</t>
        </is>
      </c>
      <c r="S53" t="inlineStr">
        <is>
          <t>Pasto</t>
        </is>
      </c>
      <c r="T53" t="inlineStr">
        <is>
          <t>Belen</t>
        </is>
      </c>
      <c r="V53" t="inlineStr">
        <is>
          <t>Chachagüí</t>
        </is>
      </c>
      <c r="W53" t="inlineStr">
        <is>
          <t>Pedregal</t>
        </is>
      </c>
      <c r="Y53" t="inlineStr">
        <is>
          <t>Arboleda</t>
        </is>
      </c>
      <c r="Z53" t="inlineStr">
        <is>
          <t>San Miguel</t>
        </is>
      </c>
    </row>
    <row r="54">
      <c r="A54" t="inlineStr">
        <is>
          <t>San Bernardo</t>
        </is>
      </c>
      <c r="B54" t="inlineStr">
        <is>
          <t>52685</t>
        </is>
      </c>
      <c r="C54" t="inlineStr">
        <is>
          <t>Río Mayo</t>
        </is>
      </c>
      <c r="F54" t="inlineStr">
        <is>
          <t>San Bernardo</t>
        </is>
      </c>
      <c r="S54" t="inlineStr">
        <is>
          <t>Pasto</t>
        </is>
      </c>
      <c r="T54" t="inlineStr">
        <is>
          <t>Belisario Betancourth</t>
        </is>
      </c>
      <c r="V54" t="inlineStr">
        <is>
          <t>Chachagüí</t>
        </is>
      </c>
      <c r="W54" t="inlineStr">
        <is>
          <t>Santa Mónica</t>
        </is>
      </c>
      <c r="Y54" t="inlineStr">
        <is>
          <t>Arboleda</t>
        </is>
      </c>
      <c r="Z54" t="inlineStr">
        <is>
          <t>San Pedro Bajo</t>
        </is>
      </c>
    </row>
    <row r="55">
      <c r="A55" t="inlineStr">
        <is>
          <t>San Lorenzo</t>
        </is>
      </c>
      <c r="B55" t="inlineStr">
        <is>
          <t>52687</t>
        </is>
      </c>
      <c r="C55" t="inlineStr">
        <is>
          <t>Juanambú</t>
        </is>
      </c>
      <c r="F55" t="inlineStr">
        <is>
          <t>San Lorenzo</t>
        </is>
      </c>
      <c r="S55" t="inlineStr">
        <is>
          <t>Pasto</t>
        </is>
      </c>
      <c r="T55" t="inlineStr">
        <is>
          <t>Bella Vista</t>
        </is>
      </c>
      <c r="V55" t="inlineStr">
        <is>
          <t>Colón</t>
        </is>
      </c>
      <c r="W55" t="inlineStr">
        <is>
          <t>Guaitarilla</t>
        </is>
      </c>
      <c r="Y55" t="inlineStr">
        <is>
          <t>Arboleda</t>
        </is>
      </c>
      <c r="Z55" t="inlineStr">
        <is>
          <t>San Vicente</t>
        </is>
      </c>
    </row>
    <row r="56">
      <c r="A56" t="inlineStr">
        <is>
          <t>San Pablo</t>
        </is>
      </c>
      <c r="B56" t="inlineStr">
        <is>
          <t>52693</t>
        </is>
      </c>
      <c r="C56" t="inlineStr">
        <is>
          <t>Río Mayo</t>
        </is>
      </c>
      <c r="F56" t="inlineStr">
        <is>
          <t>San Pablo</t>
        </is>
      </c>
      <c r="S56" t="inlineStr">
        <is>
          <t>Pasto</t>
        </is>
      </c>
      <c r="T56" t="inlineStr">
        <is>
          <t>Bellavista de Aranda</t>
        </is>
      </c>
      <c r="V56" t="inlineStr">
        <is>
          <t>Colón</t>
        </is>
      </c>
      <c r="W56" t="inlineStr">
        <is>
          <t>La Plata</t>
        </is>
      </c>
      <c r="Y56" t="inlineStr">
        <is>
          <t>Arboleda</t>
        </is>
      </c>
      <c r="Z56" t="inlineStr">
        <is>
          <t>Santa Teresa</t>
        </is>
      </c>
    </row>
    <row r="57">
      <c r="A57" t="inlineStr">
        <is>
          <t>San Pedro de Cartago</t>
        </is>
      </c>
      <c r="B57" t="inlineStr">
        <is>
          <t>52694</t>
        </is>
      </c>
      <c r="C57" t="inlineStr">
        <is>
          <t>Juanambú</t>
        </is>
      </c>
      <c r="F57" t="inlineStr">
        <is>
          <t>San Pedro de Cartago</t>
        </is>
      </c>
      <c r="S57" t="inlineStr">
        <is>
          <t>Pasto</t>
        </is>
      </c>
      <c r="T57" t="inlineStr">
        <is>
          <t>Bellavista Ii</t>
        </is>
      </c>
      <c r="V57" t="inlineStr">
        <is>
          <t>Colón</t>
        </is>
      </c>
      <c r="W57" t="inlineStr">
        <is>
          <t>Villanueva</t>
        </is>
      </c>
      <c r="Y57" t="inlineStr">
        <is>
          <t>Arboleda</t>
        </is>
      </c>
      <c r="Z57" t="inlineStr">
        <is>
          <t>Tierras Blancas</t>
        </is>
      </c>
    </row>
    <row r="58">
      <c r="A58" t="inlineStr">
        <is>
          <t>Sandoná</t>
        </is>
      </c>
      <c r="B58" t="inlineStr">
        <is>
          <t>52683</t>
        </is>
      </c>
      <c r="C58" t="inlineStr">
        <is>
          <t>Occidente</t>
        </is>
      </c>
      <c r="F58" t="inlineStr">
        <is>
          <t>Sandoná</t>
        </is>
      </c>
      <c r="S58" t="inlineStr">
        <is>
          <t>Pasto</t>
        </is>
      </c>
      <c r="T58" t="inlineStr">
        <is>
          <t>Bello Horizonte</t>
        </is>
      </c>
      <c r="V58" t="inlineStr">
        <is>
          <t>Consacá</t>
        </is>
      </c>
      <c r="W58" t="inlineStr">
        <is>
          <t>Bombona</t>
        </is>
      </c>
      <c r="Y58" t="inlineStr">
        <is>
          <t>Arboleda</t>
        </is>
      </c>
      <c r="Z58" t="inlineStr">
        <is>
          <t>Toronjal</t>
        </is>
      </c>
    </row>
    <row r="59">
      <c r="A59" t="inlineStr">
        <is>
          <t>Santa Bárbara</t>
        </is>
      </c>
      <c r="B59" t="inlineStr">
        <is>
          <t>52696</t>
        </is>
      </c>
      <c r="C59" t="inlineStr">
        <is>
          <t>Sanquianga</t>
        </is>
      </c>
      <c r="F59" t="inlineStr">
        <is>
          <t>Santa Bárbara</t>
        </is>
      </c>
      <c r="S59" t="inlineStr">
        <is>
          <t>Pasto</t>
        </is>
      </c>
      <c r="T59" t="inlineStr">
        <is>
          <t>Bernal</t>
        </is>
      </c>
      <c r="V59" t="inlineStr">
        <is>
          <t>Consacá</t>
        </is>
      </c>
      <c r="W59" t="inlineStr">
        <is>
          <t>El Hatillo</t>
        </is>
      </c>
      <c r="Y59" t="inlineStr">
        <is>
          <t>Arboleda</t>
        </is>
      </c>
      <c r="Z59" t="inlineStr">
        <is>
          <t>Yunguilla</t>
        </is>
      </c>
    </row>
    <row r="60">
      <c r="A60" t="inlineStr">
        <is>
          <t>Santacruz</t>
        </is>
      </c>
      <c r="B60" t="inlineStr">
        <is>
          <t>52699</t>
        </is>
      </c>
      <c r="C60" t="inlineStr">
        <is>
          <t>Los Abades</t>
        </is>
      </c>
      <c r="F60" t="inlineStr">
        <is>
          <t>Santacruz</t>
        </is>
      </c>
      <c r="S60" t="inlineStr">
        <is>
          <t>Pasto</t>
        </is>
      </c>
      <c r="T60" t="inlineStr">
        <is>
          <t>Betania</t>
        </is>
      </c>
      <c r="V60" t="inlineStr">
        <is>
          <t>Consacá</t>
        </is>
      </c>
      <c r="W60" t="inlineStr">
        <is>
          <t>Rumipamba</t>
        </is>
      </c>
      <c r="Y60" t="inlineStr">
        <is>
          <t>Barbacoas</t>
        </is>
      </c>
      <c r="Z60" t="inlineStr">
        <is>
          <t>Bombon</t>
        </is>
      </c>
    </row>
    <row r="61">
      <c r="A61" t="inlineStr">
        <is>
          <t>Sapuyes</t>
        </is>
      </c>
      <c r="B61" t="inlineStr">
        <is>
          <t>52720</t>
        </is>
      </c>
      <c r="C61" t="inlineStr">
        <is>
          <t>La Sabana</t>
        </is>
      </c>
      <c r="F61" t="inlineStr">
        <is>
          <t>Sapuyes</t>
        </is>
      </c>
      <c r="S61" t="inlineStr">
        <is>
          <t>Pasto</t>
        </is>
      </c>
      <c r="T61" t="inlineStr">
        <is>
          <t>Bombona</t>
        </is>
      </c>
      <c r="V61" t="inlineStr">
        <is>
          <t>Contadero</t>
        </is>
      </c>
      <c r="W61" t="inlineStr">
        <is>
          <t>Aldea de María</t>
        </is>
      </c>
      <c r="Y61" t="inlineStr">
        <is>
          <t>Barbacoas</t>
        </is>
      </c>
      <c r="Z61" t="inlineStr">
        <is>
          <t>Buenavista</t>
        </is>
      </c>
    </row>
    <row r="62">
      <c r="A62" t="inlineStr">
        <is>
          <t>Taminango</t>
        </is>
      </c>
      <c r="B62" t="inlineStr">
        <is>
          <t>52786</t>
        </is>
      </c>
      <c r="C62" t="inlineStr">
        <is>
          <t>La Cordillera</t>
        </is>
      </c>
      <c r="F62" t="inlineStr">
        <is>
          <t>Taminango</t>
        </is>
      </c>
      <c r="S62" t="inlineStr">
        <is>
          <t>Pasto</t>
        </is>
      </c>
      <c r="T62" t="inlineStr">
        <is>
          <t>Bosques de la Colina I</t>
        </is>
      </c>
      <c r="V62" t="inlineStr">
        <is>
          <t>Contadero</t>
        </is>
      </c>
      <c r="W62" t="inlineStr">
        <is>
          <t>La Josefina</t>
        </is>
      </c>
      <c r="Y62" t="inlineStr">
        <is>
          <t>Barbacoas</t>
        </is>
      </c>
      <c r="Z62" t="inlineStr">
        <is>
          <t>Cacagual</t>
        </is>
      </c>
    </row>
    <row r="63">
      <c r="A63" t="inlineStr">
        <is>
          <t>Tangua</t>
        </is>
      </c>
      <c r="B63" t="inlineStr">
        <is>
          <t>52788</t>
        </is>
      </c>
      <c r="C63" t="inlineStr">
        <is>
          <t>Centro</t>
        </is>
      </c>
      <c r="F63" t="inlineStr">
        <is>
          <t>Tangua</t>
        </is>
      </c>
      <c r="S63" t="inlineStr">
        <is>
          <t>Pasto</t>
        </is>
      </c>
      <c r="T63" t="inlineStr">
        <is>
          <t>Bosques de la Colina Ii</t>
        </is>
      </c>
      <c r="V63" t="inlineStr">
        <is>
          <t>Córdoba</t>
        </is>
      </c>
      <c r="W63" t="inlineStr">
        <is>
          <t>Los Arrayanes</t>
        </is>
      </c>
      <c r="Y63" t="inlineStr">
        <is>
          <t>Barbacoas</t>
        </is>
      </c>
      <c r="Z63" t="inlineStr">
        <is>
          <t>Chapira</t>
        </is>
      </c>
    </row>
    <row r="64">
      <c r="A64" t="inlineStr">
        <is>
          <t>Túquerres</t>
        </is>
      </c>
      <c r="B64" t="inlineStr">
        <is>
          <t>52838</t>
        </is>
      </c>
      <c r="C64" t="inlineStr">
        <is>
          <t>La Sabana</t>
        </is>
      </c>
      <c r="F64" t="inlineStr">
        <is>
          <t>Túquerres</t>
        </is>
      </c>
      <c r="S64" t="inlineStr">
        <is>
          <t>Pasto</t>
        </is>
      </c>
      <c r="T64" t="inlineStr">
        <is>
          <t>Briceño</t>
        </is>
      </c>
      <c r="V64" t="inlineStr">
        <is>
          <t>Córdoba</t>
        </is>
      </c>
      <c r="W64" t="inlineStr">
        <is>
          <t>Pueblo Bajo</t>
        </is>
      </c>
      <c r="Y64" t="inlineStr">
        <is>
          <t>Barbacoas</t>
        </is>
      </c>
      <c r="Z64" t="inlineStr">
        <is>
          <t>Currulao</t>
        </is>
      </c>
    </row>
    <row r="65">
      <c r="A65" t="inlineStr">
        <is>
          <t>Yacuanquer</t>
        </is>
      </c>
      <c r="B65" t="inlineStr">
        <is>
          <t>52885</t>
        </is>
      </c>
      <c r="C65" t="inlineStr">
        <is>
          <t>Centro</t>
        </is>
      </c>
      <c r="F65" t="inlineStr">
        <is>
          <t>Yacuanquer</t>
        </is>
      </c>
      <c r="S65" t="inlineStr">
        <is>
          <t>Pasto</t>
        </is>
      </c>
      <c r="T65" t="inlineStr">
        <is>
          <t>Buenos Aires</t>
        </is>
      </c>
      <c r="V65" t="inlineStr">
        <is>
          <t>Córdoba</t>
        </is>
      </c>
      <c r="W65" t="inlineStr">
        <is>
          <t>Santander</t>
        </is>
      </c>
      <c r="Y65" t="inlineStr">
        <is>
          <t>Barbacoas</t>
        </is>
      </c>
      <c r="Z65" t="inlineStr">
        <is>
          <t>El Ceibo</t>
        </is>
      </c>
    </row>
    <row r="66">
      <c r="S66" t="inlineStr">
        <is>
          <t>Pasto</t>
        </is>
      </c>
      <c r="T66" t="inlineStr">
        <is>
          <t>Caicedo</t>
        </is>
      </c>
      <c r="V66" t="inlineStr">
        <is>
          <t>Cuaspud Carlosama</t>
        </is>
      </c>
      <c r="W66" t="inlineStr">
        <is>
          <t>Macas</t>
        </is>
      </c>
      <c r="Y66" t="inlineStr">
        <is>
          <t>Barbacoas</t>
        </is>
      </c>
      <c r="Z66" t="inlineStr">
        <is>
          <t>El Peje</t>
        </is>
      </c>
    </row>
    <row r="67">
      <c r="S67" t="inlineStr">
        <is>
          <t>Pasto</t>
        </is>
      </c>
      <c r="T67" t="inlineStr">
        <is>
          <t>Caicedonia</t>
        </is>
      </c>
      <c r="V67" t="inlineStr">
        <is>
          <t>Cumbal</t>
        </is>
      </c>
      <c r="W67" t="inlineStr">
        <is>
          <t>Chiles</t>
        </is>
      </c>
      <c r="Y67" t="inlineStr">
        <is>
          <t>Barbacoas</t>
        </is>
      </c>
      <c r="Z67" t="inlineStr">
        <is>
          <t>Guadual</t>
        </is>
      </c>
    </row>
    <row r="68">
      <c r="S68" t="inlineStr">
        <is>
          <t>Pasto</t>
        </is>
      </c>
      <c r="T68" t="inlineStr">
        <is>
          <t>Calatrava</t>
        </is>
      </c>
      <c r="V68" t="inlineStr">
        <is>
          <t>Cumbal</t>
        </is>
      </c>
      <c r="W68" t="inlineStr">
        <is>
          <t>El Chota</t>
        </is>
      </c>
      <c r="Y68" t="inlineStr">
        <is>
          <t>Barbacoas</t>
        </is>
      </c>
      <c r="Z68" t="inlineStr">
        <is>
          <t>Huasano</t>
        </is>
      </c>
    </row>
    <row r="69">
      <c r="S69" t="inlineStr">
        <is>
          <t>Pasto</t>
        </is>
      </c>
      <c r="T69" t="inlineStr">
        <is>
          <t>Calvario</t>
        </is>
      </c>
      <c r="V69" t="inlineStr">
        <is>
          <t>Cumbal</t>
        </is>
      </c>
      <c r="W69" t="inlineStr">
        <is>
          <t>La Calera</t>
        </is>
      </c>
      <c r="Y69" t="inlineStr">
        <is>
          <t>Barbacoas</t>
        </is>
      </c>
      <c r="Z69" t="inlineStr">
        <is>
          <t>Junin</t>
        </is>
      </c>
    </row>
    <row r="70">
      <c r="S70" t="inlineStr">
        <is>
          <t>Pasto</t>
        </is>
      </c>
      <c r="T70" t="inlineStr">
        <is>
          <t>Camino Real</t>
        </is>
      </c>
      <c r="V70" t="inlineStr">
        <is>
          <t>Cumbal</t>
        </is>
      </c>
      <c r="W70" t="inlineStr">
        <is>
          <t>La Poma</t>
        </is>
      </c>
      <c r="Y70" t="inlineStr">
        <is>
          <t>Barbacoas</t>
        </is>
      </c>
      <c r="Z70" t="inlineStr">
        <is>
          <t>Kilometro 28</t>
        </is>
      </c>
    </row>
    <row r="71">
      <c r="S71" t="inlineStr">
        <is>
          <t>Pasto</t>
        </is>
      </c>
      <c r="T71" t="inlineStr">
        <is>
          <t>Campos de Castilla</t>
        </is>
      </c>
      <c r="V71" t="inlineStr">
        <is>
          <t>Cumbal</t>
        </is>
      </c>
      <c r="W71" t="inlineStr">
        <is>
          <t>Nazate</t>
        </is>
      </c>
      <c r="Y71" t="inlineStr">
        <is>
          <t>Barbacoas</t>
        </is>
      </c>
      <c r="Z71" t="inlineStr">
        <is>
          <t>Kilometro 58</t>
        </is>
      </c>
    </row>
    <row r="72">
      <c r="S72" t="inlineStr">
        <is>
          <t>Pasto</t>
        </is>
      </c>
      <c r="T72" t="inlineStr">
        <is>
          <t>Canchala</t>
        </is>
      </c>
      <c r="V72" t="inlineStr">
        <is>
          <t>Cumbal</t>
        </is>
      </c>
      <c r="W72" t="inlineStr">
        <is>
          <t>Panán</t>
        </is>
      </c>
      <c r="Y72" t="inlineStr">
        <is>
          <t>Barbacoas</t>
        </is>
      </c>
      <c r="Z72" t="inlineStr">
        <is>
          <t>La Falda</t>
        </is>
      </c>
    </row>
    <row r="73">
      <c r="S73" t="inlineStr">
        <is>
          <t>Pasto</t>
        </is>
      </c>
      <c r="T73" t="inlineStr">
        <is>
          <t>Cantarana</t>
        </is>
      </c>
      <c r="V73" t="inlineStr">
        <is>
          <t>Cumbitara</t>
        </is>
      </c>
      <c r="W73" t="inlineStr">
        <is>
          <t>Campo Bello</t>
        </is>
      </c>
      <c r="Y73" t="inlineStr">
        <is>
          <t>Barbacoas</t>
        </is>
      </c>
      <c r="Z73" t="inlineStr">
        <is>
          <t>La Florida</t>
        </is>
      </c>
    </row>
    <row r="74">
      <c r="S74" t="inlineStr">
        <is>
          <t>Pasto</t>
        </is>
      </c>
      <c r="T74" t="inlineStr">
        <is>
          <t>Capusigra</t>
        </is>
      </c>
      <c r="V74" t="inlineStr">
        <is>
          <t>Cumbitara</t>
        </is>
      </c>
      <c r="W74" t="inlineStr">
        <is>
          <t>Damasco</t>
        </is>
      </c>
      <c r="Y74" t="inlineStr">
        <is>
          <t>Barbacoas</t>
        </is>
      </c>
      <c r="Z74" t="inlineStr">
        <is>
          <t>La Marina</t>
        </is>
      </c>
    </row>
    <row r="75">
      <c r="S75" t="inlineStr">
        <is>
          <t>Pasto</t>
        </is>
      </c>
      <c r="T75" t="inlineStr">
        <is>
          <t>Caracha</t>
        </is>
      </c>
      <c r="V75" t="inlineStr">
        <is>
          <t>Cumbitara</t>
        </is>
      </c>
      <c r="W75" t="inlineStr">
        <is>
          <t>El Desierto</t>
        </is>
      </c>
      <c r="Y75" t="inlineStr">
        <is>
          <t>Barbacoas</t>
        </is>
      </c>
      <c r="Z75" t="inlineStr">
        <is>
          <t>La Nupa</t>
        </is>
      </c>
    </row>
    <row r="76">
      <c r="S76" t="inlineStr">
        <is>
          <t>Pasto</t>
        </is>
      </c>
      <c r="T76" t="inlineStr">
        <is>
          <t>Carlos Pizarro</t>
        </is>
      </c>
      <c r="V76" t="inlineStr">
        <is>
          <t>Cumbitara</t>
        </is>
      </c>
      <c r="W76" t="inlineStr">
        <is>
          <t>La Esperanza</t>
        </is>
      </c>
      <c r="Y76" t="inlineStr">
        <is>
          <t>Barbacoas</t>
        </is>
      </c>
      <c r="Z76" t="inlineStr">
        <is>
          <t>La Planada</t>
        </is>
      </c>
    </row>
    <row r="77">
      <c r="S77" t="inlineStr">
        <is>
          <t>Pasto</t>
        </is>
      </c>
      <c r="T77" t="inlineStr">
        <is>
          <t>Casa Bella</t>
        </is>
      </c>
      <c r="V77" t="inlineStr">
        <is>
          <t>Cumbitara</t>
        </is>
      </c>
      <c r="W77" t="inlineStr">
        <is>
          <t>Pisanda</t>
        </is>
      </c>
      <c r="Y77" t="inlineStr">
        <is>
          <t>Barbacoas</t>
        </is>
      </c>
      <c r="Z77" t="inlineStr">
        <is>
          <t>La Seca</t>
        </is>
      </c>
    </row>
    <row r="78">
      <c r="S78" t="inlineStr">
        <is>
          <t>Pasto</t>
        </is>
      </c>
      <c r="T78" t="inlineStr">
        <is>
          <t>Casaloma</t>
        </is>
      </c>
      <c r="V78" t="inlineStr">
        <is>
          <t>Cumbitara</t>
        </is>
      </c>
      <c r="W78" t="inlineStr">
        <is>
          <t>Santa Ana</t>
        </is>
      </c>
      <c r="Y78" t="inlineStr">
        <is>
          <t>Barbacoas</t>
        </is>
      </c>
      <c r="Z78" t="inlineStr">
        <is>
          <t>La Sonora</t>
        </is>
      </c>
    </row>
    <row r="79">
      <c r="S79" t="inlineStr">
        <is>
          <t>Pasto</t>
        </is>
      </c>
      <c r="T79" t="inlineStr">
        <is>
          <t>Castilla</t>
        </is>
      </c>
      <c r="V79" t="inlineStr">
        <is>
          <t>Cumbitara</t>
        </is>
      </c>
      <c r="W79" t="inlineStr">
        <is>
          <t>Santa Rosa</t>
        </is>
      </c>
      <c r="Y79" t="inlineStr">
        <is>
          <t>Barbacoas</t>
        </is>
      </c>
      <c r="Z79" t="inlineStr">
        <is>
          <t>Las Piedras</t>
        </is>
      </c>
    </row>
    <row r="80">
      <c r="S80" t="inlineStr">
        <is>
          <t>Pasto</t>
        </is>
      </c>
      <c r="T80" t="inlineStr">
        <is>
          <t>Castillos del Norte</t>
        </is>
      </c>
      <c r="V80" t="inlineStr">
        <is>
          <t>Cumbitara</t>
        </is>
      </c>
      <c r="W80" t="inlineStr">
        <is>
          <t>Sidón</t>
        </is>
      </c>
      <c r="Y80" t="inlineStr">
        <is>
          <t>Barbacoas</t>
        </is>
      </c>
      <c r="Z80" t="inlineStr">
        <is>
          <t>Limones</t>
        </is>
      </c>
    </row>
    <row r="81">
      <c r="S81" t="inlineStr">
        <is>
          <t>Pasto</t>
        </is>
      </c>
      <c r="T81" t="inlineStr">
        <is>
          <t>Cementerio</t>
        </is>
      </c>
      <c r="V81" t="inlineStr">
        <is>
          <t>El Charco</t>
        </is>
      </c>
      <c r="W81" t="inlineStr">
        <is>
          <t>Bazán</t>
        </is>
      </c>
      <c r="Y81" t="inlineStr">
        <is>
          <t>Barbacoas</t>
        </is>
      </c>
      <c r="Z81" t="inlineStr">
        <is>
          <t>Loma Redonda</t>
        </is>
      </c>
    </row>
    <row r="82">
      <c r="S82" t="inlineStr">
        <is>
          <t>Pasto</t>
        </is>
      </c>
      <c r="T82" t="inlineStr">
        <is>
          <t>Cementerio el Carmen</t>
        </is>
      </c>
      <c r="V82" t="inlineStr">
        <is>
          <t>El Charco</t>
        </is>
      </c>
      <c r="W82" t="inlineStr">
        <is>
          <t>El Cuil</t>
        </is>
      </c>
      <c r="Y82" t="inlineStr">
        <is>
          <t>Barbacoas</t>
        </is>
      </c>
      <c r="Z82" t="inlineStr">
        <is>
          <t>Macajan</t>
        </is>
      </c>
    </row>
    <row r="83">
      <c r="S83" t="inlineStr">
        <is>
          <t>Pasto</t>
        </is>
      </c>
      <c r="T83" t="inlineStr">
        <is>
          <t>Centenario</t>
        </is>
      </c>
      <c r="V83" t="inlineStr">
        <is>
          <t>El Charco</t>
        </is>
      </c>
      <c r="W83" t="inlineStr">
        <is>
          <t>San Pedro</t>
        </is>
      </c>
      <c r="Y83" t="inlineStr">
        <is>
          <t>Barbacoas</t>
        </is>
      </c>
      <c r="Z83" t="inlineStr">
        <is>
          <t>Nariño</t>
        </is>
      </c>
    </row>
    <row r="84">
      <c r="S84" t="inlineStr">
        <is>
          <t>Pasto</t>
        </is>
      </c>
      <c r="T84" t="inlineStr">
        <is>
          <t>Centro</t>
        </is>
      </c>
      <c r="V84" t="inlineStr">
        <is>
          <t>El Charco</t>
        </is>
      </c>
      <c r="W84" t="inlineStr">
        <is>
          <t>Santa Barbara</t>
        </is>
      </c>
      <c r="Y84" t="inlineStr">
        <is>
          <t>Barbacoas</t>
        </is>
      </c>
      <c r="Z84" t="inlineStr">
        <is>
          <t>Nerete (rio Mira)</t>
        </is>
      </c>
    </row>
    <row r="85">
      <c r="S85" t="inlineStr">
        <is>
          <t>Pasto</t>
        </is>
      </c>
      <c r="T85" t="inlineStr">
        <is>
          <t>Chambu I</t>
        </is>
      </c>
      <c r="V85" t="inlineStr">
        <is>
          <t>El Charco</t>
        </is>
      </c>
      <c r="W85" t="inlineStr">
        <is>
          <t>Taijita</t>
        </is>
      </c>
      <c r="Y85" t="inlineStr">
        <is>
          <t>Barbacoas</t>
        </is>
      </c>
      <c r="Z85" t="inlineStr">
        <is>
          <t>Nueva Colonia</t>
        </is>
      </c>
    </row>
    <row r="86">
      <c r="S86" t="inlineStr">
        <is>
          <t>Pasto</t>
        </is>
      </c>
      <c r="T86" t="inlineStr">
        <is>
          <t>Chambu Ii</t>
        </is>
      </c>
      <c r="V86" t="inlineStr">
        <is>
          <t>El Charco</t>
        </is>
      </c>
      <c r="W86" t="inlineStr">
        <is>
          <t>Vuelta el Mero</t>
        </is>
      </c>
      <c r="Y86" t="inlineStr">
        <is>
          <t>Barbacoas</t>
        </is>
      </c>
      <c r="Z86" t="inlineStr">
        <is>
          <t>Nuevo Oriente</t>
        </is>
      </c>
    </row>
    <row r="87">
      <c r="S87" t="inlineStr">
        <is>
          <t>Pasto</t>
        </is>
      </c>
      <c r="T87" t="inlineStr">
        <is>
          <t>Champagnat</t>
        </is>
      </c>
      <c r="V87" t="inlineStr">
        <is>
          <t>El Peñol</t>
        </is>
      </c>
      <c r="W87" t="inlineStr">
        <is>
          <t>Las Cochas</t>
        </is>
      </c>
      <c r="Y87" t="inlineStr">
        <is>
          <t>Barbacoas</t>
        </is>
      </c>
      <c r="Z87" t="inlineStr">
        <is>
          <t>Palbi</t>
        </is>
      </c>
    </row>
    <row r="88">
      <c r="S88" t="inlineStr">
        <is>
          <t>Pasto</t>
        </is>
      </c>
      <c r="T88" t="inlineStr">
        <is>
          <t>Chapal I</t>
        </is>
      </c>
      <c r="V88" t="inlineStr">
        <is>
          <t>El Peñol</t>
        </is>
      </c>
      <c r="W88" t="inlineStr">
        <is>
          <t>Peñol Viejo</t>
        </is>
      </c>
      <c r="Y88" t="inlineStr">
        <is>
          <t>Barbacoas</t>
        </is>
      </c>
      <c r="Z88" t="inlineStr">
        <is>
          <t>Papayal la Playa</t>
        </is>
      </c>
    </row>
    <row r="89">
      <c r="S89" t="inlineStr">
        <is>
          <t>Pasto</t>
        </is>
      </c>
      <c r="T89" t="inlineStr">
        <is>
          <t>Chapal Ii</t>
        </is>
      </c>
      <c r="V89" t="inlineStr">
        <is>
          <t>El Peñol</t>
        </is>
      </c>
      <c r="W89" t="inlineStr">
        <is>
          <t>San Francisco</t>
        </is>
      </c>
      <c r="Y89" t="inlineStr">
        <is>
          <t>Barbacoas</t>
        </is>
      </c>
      <c r="Z89" t="inlineStr">
        <is>
          <t>Piedra Verde</t>
        </is>
      </c>
    </row>
    <row r="90">
      <c r="S90" t="inlineStr">
        <is>
          <t>Pasto</t>
        </is>
      </c>
      <c r="T90" t="inlineStr">
        <is>
          <t>Chico</t>
        </is>
      </c>
      <c r="V90" t="inlineStr">
        <is>
          <t>El Peñol</t>
        </is>
      </c>
      <c r="W90" t="inlineStr">
        <is>
          <t>San Francisco Bajo</t>
        </is>
      </c>
      <c r="Y90" t="inlineStr">
        <is>
          <t>Barbacoas</t>
        </is>
      </c>
      <c r="Z90" t="inlineStr">
        <is>
          <t>Piñal Salado</t>
        </is>
      </c>
    </row>
    <row r="91">
      <c r="S91" t="inlineStr">
        <is>
          <t>Pasto</t>
        </is>
      </c>
      <c r="T91" t="inlineStr">
        <is>
          <t>Chile</t>
        </is>
      </c>
      <c r="V91" t="inlineStr">
        <is>
          <t>El Rosario</t>
        </is>
      </c>
      <c r="W91" t="inlineStr">
        <is>
          <t>El Rincón</t>
        </is>
      </c>
      <c r="Y91" t="inlineStr">
        <is>
          <t>Barbacoas</t>
        </is>
      </c>
      <c r="Z91" t="inlineStr">
        <is>
          <t>Plan de Raspadura</t>
        </is>
      </c>
    </row>
    <row r="92">
      <c r="S92" t="inlineStr">
        <is>
          <t>Pasto</t>
        </is>
      </c>
      <c r="T92" t="inlineStr">
        <is>
          <t>Ciudad Jardin</t>
        </is>
      </c>
      <c r="V92" t="inlineStr">
        <is>
          <t>El Rosario</t>
        </is>
      </c>
      <c r="W92" t="inlineStr">
        <is>
          <t>El Suspiro</t>
        </is>
      </c>
      <c r="Y92" t="inlineStr">
        <is>
          <t>Barbacoas</t>
        </is>
      </c>
      <c r="Z92" t="inlineStr">
        <is>
          <t>Reserva Natural Rio Nambi</t>
        </is>
      </c>
    </row>
    <row r="93">
      <c r="S93" t="inlineStr">
        <is>
          <t>Pasto</t>
        </is>
      </c>
      <c r="T93" t="inlineStr">
        <is>
          <t>Ciudad Real</t>
        </is>
      </c>
      <c r="V93" t="inlineStr">
        <is>
          <t>El Rosario</t>
        </is>
      </c>
      <c r="W93" t="inlineStr">
        <is>
          <t>El Vado</t>
        </is>
      </c>
      <c r="Y93" t="inlineStr">
        <is>
          <t>Barbacoas</t>
        </is>
      </c>
      <c r="Z93" t="inlineStr">
        <is>
          <t>Sagumbita</t>
        </is>
      </c>
    </row>
    <row r="94">
      <c r="S94" t="inlineStr">
        <is>
          <t>Pasto</t>
        </is>
      </c>
      <c r="T94" t="inlineStr">
        <is>
          <t>Col Champagnat</t>
        </is>
      </c>
      <c r="V94" t="inlineStr">
        <is>
          <t>El Rosario</t>
        </is>
      </c>
      <c r="W94" t="inlineStr">
        <is>
          <t>La Esmeralda</t>
        </is>
      </c>
      <c r="Y94" t="inlineStr">
        <is>
          <t>Barbacoas</t>
        </is>
      </c>
      <c r="Z94" t="inlineStr">
        <is>
          <t>San Francisco</t>
        </is>
      </c>
    </row>
    <row r="95">
      <c r="S95" t="inlineStr">
        <is>
          <t>Pasto</t>
        </is>
      </c>
      <c r="T95" t="inlineStr">
        <is>
          <t>Colon</t>
        </is>
      </c>
      <c r="V95" t="inlineStr">
        <is>
          <t>El Rosario</t>
        </is>
      </c>
      <c r="W95" t="inlineStr">
        <is>
          <t>La Sierra</t>
        </is>
      </c>
      <c r="Y95" t="inlineStr">
        <is>
          <t>Barbacoas</t>
        </is>
      </c>
      <c r="Z95" t="inlineStr">
        <is>
          <t>San Juan Bautista</t>
        </is>
      </c>
    </row>
    <row r="96">
      <c r="S96" t="inlineStr">
        <is>
          <t>Pasto</t>
        </is>
      </c>
      <c r="T96" t="inlineStr">
        <is>
          <t>Colpatria</t>
        </is>
      </c>
      <c r="V96" t="inlineStr">
        <is>
          <t>El Rosario</t>
        </is>
      </c>
      <c r="W96" t="inlineStr">
        <is>
          <t>Martín Pérez</t>
        </is>
      </c>
      <c r="Y96" t="inlineStr">
        <is>
          <t>Barbacoas</t>
        </is>
      </c>
      <c r="Z96" t="inlineStr">
        <is>
          <t>Santa Elena</t>
        </is>
      </c>
    </row>
    <row r="97">
      <c r="S97" t="inlineStr">
        <is>
          <t>Pasto</t>
        </is>
      </c>
      <c r="T97" t="inlineStr">
        <is>
          <t>Cond Altos de la Colina</t>
        </is>
      </c>
      <c r="V97" t="inlineStr">
        <is>
          <t>El Tablón de Gómez</t>
        </is>
      </c>
      <c r="W97" t="inlineStr">
        <is>
          <t>Aponte</t>
        </is>
      </c>
      <c r="Y97" t="inlineStr">
        <is>
          <t>Barbacoas</t>
        </is>
      </c>
      <c r="Z97" t="inlineStr">
        <is>
          <t>Santa Rosa</t>
        </is>
      </c>
    </row>
    <row r="98">
      <c r="S98" t="inlineStr">
        <is>
          <t>Pasto</t>
        </is>
      </c>
      <c r="T98" t="inlineStr">
        <is>
          <t>Cond Balcones de la Carolina</t>
        </is>
      </c>
      <c r="V98" t="inlineStr">
        <is>
          <t>El Tablón de Gómez</t>
        </is>
      </c>
      <c r="W98" t="inlineStr">
        <is>
          <t>La Cueva</t>
        </is>
      </c>
      <c r="Y98" t="inlineStr">
        <is>
          <t>Barbacoas</t>
        </is>
      </c>
      <c r="Z98" t="inlineStr">
        <is>
          <t>Sin Informacion</t>
        </is>
      </c>
    </row>
    <row r="99">
      <c r="S99" t="inlineStr">
        <is>
          <t>Pasto</t>
        </is>
      </c>
      <c r="T99" t="inlineStr">
        <is>
          <t>Cond los Eliseos</t>
        </is>
      </c>
      <c r="V99" t="inlineStr">
        <is>
          <t>El Tablón de Gómez</t>
        </is>
      </c>
      <c r="W99" t="inlineStr">
        <is>
          <t>La Victoria</t>
        </is>
      </c>
      <c r="Y99" t="inlineStr">
        <is>
          <t>Barbacoas</t>
        </is>
      </c>
      <c r="Z99" t="inlineStr">
        <is>
          <t>Tambillo</t>
        </is>
      </c>
    </row>
    <row r="100">
      <c r="S100" t="inlineStr">
        <is>
          <t>Pasto</t>
        </is>
      </c>
      <c r="T100" t="inlineStr">
        <is>
          <t>Cond los Frailejones</t>
        </is>
      </c>
      <c r="V100" t="inlineStr">
        <is>
          <t>El Tablón de Gómez</t>
        </is>
      </c>
      <c r="W100" t="inlineStr">
        <is>
          <t>Las Mesas</t>
        </is>
      </c>
      <c r="Y100" t="inlineStr">
        <is>
          <t>Barbacoas</t>
        </is>
      </c>
      <c r="Z100" t="inlineStr">
        <is>
          <t>Teran</t>
        </is>
      </c>
    </row>
    <row r="101">
      <c r="S101" t="inlineStr">
        <is>
          <t>Pasto</t>
        </is>
      </c>
      <c r="T101" t="inlineStr">
        <is>
          <t>Cond los Nogales</t>
        </is>
      </c>
      <c r="V101" t="inlineStr">
        <is>
          <t>El Tablón de Gómez</t>
        </is>
      </c>
      <c r="W101" t="inlineStr">
        <is>
          <t>San Rafael</t>
        </is>
      </c>
      <c r="Y101" t="inlineStr">
        <is>
          <t>Barbacoas</t>
        </is>
      </c>
      <c r="Z101" t="inlineStr">
        <is>
          <t>Tiquisio</t>
        </is>
      </c>
    </row>
    <row r="102">
      <c r="S102" t="inlineStr">
        <is>
          <t>Pasto</t>
        </is>
      </c>
      <c r="T102" t="inlineStr">
        <is>
          <t>Cond los Pinos</t>
        </is>
      </c>
      <c r="V102" t="inlineStr">
        <is>
          <t>Francisco Pizarro</t>
        </is>
      </c>
      <c r="W102" t="inlineStr">
        <is>
          <t>Bocas de Curay</t>
        </is>
      </c>
      <c r="Y102" t="inlineStr">
        <is>
          <t>Barbacoas</t>
        </is>
      </c>
      <c r="Z102" t="inlineStr">
        <is>
          <t>Titumate</t>
        </is>
      </c>
    </row>
    <row r="103">
      <c r="S103" t="inlineStr">
        <is>
          <t>Pasto</t>
        </is>
      </c>
      <c r="T103" t="inlineStr">
        <is>
          <t>Cond los Sauces</t>
        </is>
      </c>
      <c r="V103" t="inlineStr">
        <is>
          <t>Francisco Pizarro</t>
        </is>
      </c>
      <c r="W103" t="inlineStr">
        <is>
          <t>La Playa</t>
        </is>
      </c>
      <c r="Y103" t="inlineStr">
        <is>
          <t>Barbacoas</t>
        </is>
      </c>
      <c r="Z103" t="inlineStr">
        <is>
          <t>Totoro</t>
        </is>
      </c>
    </row>
    <row r="104">
      <c r="S104" t="inlineStr">
        <is>
          <t>Pasto</t>
        </is>
      </c>
      <c r="T104" t="inlineStr">
        <is>
          <t>Cond Mijitayo Alto</t>
        </is>
      </c>
      <c r="V104" t="inlineStr">
        <is>
          <t>Francisco Pizarro</t>
        </is>
      </c>
      <c r="W104" t="inlineStr">
        <is>
          <t>Luis Avelino Pérez</t>
        </is>
      </c>
      <c r="Y104" t="inlineStr">
        <is>
          <t>Barbacoas</t>
        </is>
      </c>
      <c r="Z104" t="inlineStr">
        <is>
          <t>Tumaco</t>
        </is>
      </c>
    </row>
    <row r="105">
      <c r="S105" t="inlineStr">
        <is>
          <t>Pasto</t>
        </is>
      </c>
      <c r="T105" t="inlineStr">
        <is>
          <t>Cond Monterrey</t>
        </is>
      </c>
      <c r="V105" t="inlineStr">
        <is>
          <t>Francisco Pizarro</t>
        </is>
      </c>
      <c r="W105" t="inlineStr">
        <is>
          <t>Olivo Curay</t>
        </is>
      </c>
      <c r="Y105" t="inlineStr">
        <is>
          <t>Barbacoas</t>
        </is>
      </c>
      <c r="Z105" t="inlineStr">
        <is>
          <t>Turbaco</t>
        </is>
      </c>
    </row>
    <row r="106">
      <c r="S106" t="inlineStr">
        <is>
          <t>Pasto</t>
        </is>
      </c>
      <c r="T106" t="inlineStr">
        <is>
          <t>Cond Morasurco</t>
        </is>
      </c>
      <c r="V106" t="inlineStr">
        <is>
          <t>Francisco Pizarro</t>
        </is>
      </c>
      <c r="W106" t="inlineStr">
        <is>
          <t>Sander Curay</t>
        </is>
      </c>
      <c r="Y106" t="inlineStr">
        <is>
          <t>Barbacoas</t>
        </is>
      </c>
      <c r="Z106" t="inlineStr">
        <is>
          <t>Ventaquemada</t>
        </is>
      </c>
    </row>
    <row r="107">
      <c r="S107" t="inlineStr">
        <is>
          <t>Pasto</t>
        </is>
      </c>
      <c r="T107" t="inlineStr">
        <is>
          <t>Cond Panamericano</t>
        </is>
      </c>
      <c r="V107" t="inlineStr">
        <is>
          <t>Francisco Pizarro</t>
        </is>
      </c>
      <c r="W107" t="inlineStr">
        <is>
          <t>Soledad Curay I</t>
        </is>
      </c>
      <c r="Y107" t="inlineStr">
        <is>
          <t>Barbacoas</t>
        </is>
      </c>
      <c r="Z107" t="inlineStr">
        <is>
          <t>Zapote</t>
        </is>
      </c>
    </row>
    <row r="108">
      <c r="S108" t="inlineStr">
        <is>
          <t>Pasto</t>
        </is>
      </c>
      <c r="T108" t="inlineStr">
        <is>
          <t>Cond Santa Monica la Estrella</t>
        </is>
      </c>
      <c r="V108" t="inlineStr">
        <is>
          <t>Francisco Pizarro</t>
        </is>
      </c>
      <c r="W108" t="inlineStr">
        <is>
          <t>Soledad Curay Ii</t>
        </is>
      </c>
      <c r="Y108" t="inlineStr">
        <is>
          <t>Belén</t>
        </is>
      </c>
      <c r="Z108" t="inlineStr">
        <is>
          <t>Campo de Maria Alto</t>
        </is>
      </c>
    </row>
    <row r="109">
      <c r="S109" t="inlineStr">
        <is>
          <t>Pasto</t>
        </is>
      </c>
      <c r="T109" t="inlineStr">
        <is>
          <t>Cond Valle de Atriz</t>
        </is>
      </c>
      <c r="V109" t="inlineStr">
        <is>
          <t>Funes</t>
        </is>
      </c>
      <c r="W109" t="inlineStr">
        <is>
          <t>Chapal</t>
        </is>
      </c>
      <c r="Y109" t="inlineStr">
        <is>
          <t>Belén</t>
        </is>
      </c>
      <c r="Z109" t="inlineStr">
        <is>
          <t>Campo de Maria Bajo</t>
        </is>
      </c>
    </row>
    <row r="110">
      <c r="S110" t="inlineStr">
        <is>
          <t>Pasto</t>
        </is>
      </c>
      <c r="T110" t="inlineStr">
        <is>
          <t>Conj Res Iguazu</t>
        </is>
      </c>
      <c r="V110" t="inlineStr">
        <is>
          <t>Guachucal</t>
        </is>
      </c>
      <c r="W110" t="inlineStr">
        <is>
          <t>Arvela</t>
        </is>
      </c>
      <c r="Y110" t="inlineStr">
        <is>
          <t>Belén</t>
        </is>
      </c>
      <c r="Z110" t="inlineStr">
        <is>
          <t>El Broncazo</t>
        </is>
      </c>
    </row>
    <row r="111">
      <c r="S111" t="inlineStr">
        <is>
          <t>Pasto</t>
        </is>
      </c>
      <c r="T111" t="inlineStr">
        <is>
          <t>Conj Res Villa Rocio</t>
        </is>
      </c>
      <c r="V111" t="inlineStr">
        <is>
          <t>Guachucal</t>
        </is>
      </c>
      <c r="W111" t="inlineStr">
        <is>
          <t>Colimba</t>
        </is>
      </c>
      <c r="Y111" t="inlineStr">
        <is>
          <t>Belén</t>
        </is>
      </c>
      <c r="Z111" t="inlineStr">
        <is>
          <t>La Esperanza</t>
        </is>
      </c>
    </row>
    <row r="112">
      <c r="S112" t="inlineStr">
        <is>
          <t>Pasto</t>
        </is>
      </c>
      <c r="T112" t="inlineStr">
        <is>
          <t>Corazon de Jesus</t>
        </is>
      </c>
      <c r="V112" t="inlineStr">
        <is>
          <t>Guachucal</t>
        </is>
      </c>
      <c r="W112" t="inlineStr">
        <is>
          <t>El Consuelo de Chillanquer</t>
        </is>
      </c>
      <c r="Y112" t="inlineStr">
        <is>
          <t>Belén</t>
        </is>
      </c>
      <c r="Z112" t="inlineStr">
        <is>
          <t>Los Planes</t>
        </is>
      </c>
    </row>
    <row r="113">
      <c r="S113" t="inlineStr">
        <is>
          <t>Pasto</t>
        </is>
      </c>
      <c r="T113" t="inlineStr">
        <is>
          <t>Cresemillas</t>
        </is>
      </c>
      <c r="V113" t="inlineStr">
        <is>
          <t>Guachucal</t>
        </is>
      </c>
      <c r="W113" t="inlineStr">
        <is>
          <t>Ipialpud Alto</t>
        </is>
      </c>
      <c r="Y113" t="inlineStr">
        <is>
          <t>Belén</t>
        </is>
      </c>
      <c r="Z113" t="inlineStr">
        <is>
          <t>Palma Chiquita</t>
        </is>
      </c>
    </row>
    <row r="114">
      <c r="S114" t="inlineStr">
        <is>
          <t>Pasto</t>
        </is>
      </c>
      <c r="T114" t="inlineStr">
        <is>
          <t>Cujacal Bajo</t>
        </is>
      </c>
      <c r="V114" t="inlineStr">
        <is>
          <t>Guachucal</t>
        </is>
      </c>
      <c r="W114" t="inlineStr">
        <is>
          <t>La Victoria</t>
        </is>
      </c>
      <c r="Y114" t="inlineStr">
        <is>
          <t>Belén</t>
        </is>
      </c>
      <c r="Z114" t="inlineStr">
        <is>
          <t>Palma Grande</t>
        </is>
      </c>
    </row>
    <row r="115">
      <c r="S115" t="inlineStr">
        <is>
          <t>Pasto</t>
        </is>
      </c>
      <c r="T115" t="inlineStr">
        <is>
          <t>El Aljibe</t>
        </is>
      </c>
      <c r="V115" t="inlineStr">
        <is>
          <t>Guachucal</t>
        </is>
      </c>
      <c r="W115" t="inlineStr">
        <is>
          <t>Quetambúd</t>
        </is>
      </c>
      <c r="Y115" t="inlineStr">
        <is>
          <t>Belén</t>
        </is>
      </c>
      <c r="Z115" t="inlineStr">
        <is>
          <t>Peña Negra</t>
        </is>
      </c>
    </row>
    <row r="116">
      <c r="S116" t="inlineStr">
        <is>
          <t>Pasto</t>
        </is>
      </c>
      <c r="T116" t="inlineStr">
        <is>
          <t>El Bosque</t>
        </is>
      </c>
      <c r="V116" t="inlineStr">
        <is>
          <t>Guachucal</t>
        </is>
      </c>
      <c r="W116" t="inlineStr">
        <is>
          <t>San Diego de Muellamues</t>
        </is>
      </c>
      <c r="Y116" t="inlineStr">
        <is>
          <t>Belén</t>
        </is>
      </c>
      <c r="Z116" t="inlineStr">
        <is>
          <t>Potrerito</t>
        </is>
      </c>
    </row>
    <row r="117">
      <c r="S117" t="inlineStr">
        <is>
          <t>Pasto</t>
        </is>
      </c>
      <c r="T117" t="inlineStr">
        <is>
          <t>El Carmen</t>
        </is>
      </c>
      <c r="V117" t="inlineStr">
        <is>
          <t>Guachucal</t>
        </is>
      </c>
      <c r="W117" t="inlineStr">
        <is>
          <t>San José de Chillanquer</t>
        </is>
      </c>
      <c r="Y117" t="inlineStr">
        <is>
          <t>Belén</t>
        </is>
      </c>
      <c r="Z117" t="inlineStr">
        <is>
          <t>San Antonio</t>
        </is>
      </c>
    </row>
    <row r="118">
      <c r="S118" t="inlineStr">
        <is>
          <t>Pasto</t>
        </is>
      </c>
      <c r="T118" t="inlineStr">
        <is>
          <t>El Comun</t>
        </is>
      </c>
      <c r="V118" t="inlineStr">
        <is>
          <t>Guaitarilla</t>
        </is>
      </c>
      <c r="W118" t="inlineStr">
        <is>
          <t>El Rosal</t>
        </is>
      </c>
      <c r="Y118" t="inlineStr">
        <is>
          <t>Belén</t>
        </is>
      </c>
      <c r="Z118" t="inlineStr">
        <is>
          <t>Santa Rosa</t>
        </is>
      </c>
    </row>
    <row r="119">
      <c r="S119" t="inlineStr">
        <is>
          <t>Pasto</t>
        </is>
      </c>
      <c r="T119" t="inlineStr">
        <is>
          <t>El Dorado</t>
        </is>
      </c>
      <c r="V119" t="inlineStr">
        <is>
          <t>Gualmatán</t>
        </is>
      </c>
      <c r="W119" t="inlineStr">
        <is>
          <t>Cuatis</t>
        </is>
      </c>
      <c r="Y119" t="inlineStr">
        <is>
          <t>Belén</t>
        </is>
      </c>
      <c r="Z119" t="inlineStr">
        <is>
          <t>Sebastianillo</t>
        </is>
      </c>
    </row>
    <row r="120">
      <c r="S120" t="inlineStr">
        <is>
          <t>Pasto</t>
        </is>
      </c>
      <c r="T120" t="inlineStr">
        <is>
          <t>El Eden</t>
        </is>
      </c>
      <c r="V120" t="inlineStr">
        <is>
          <t>Iles</t>
        </is>
      </c>
      <c r="W120" t="inlineStr">
        <is>
          <t>Bolivar</t>
        </is>
      </c>
      <c r="Y120" t="inlineStr">
        <is>
          <t>Buesaco</t>
        </is>
      </c>
      <c r="Z120" t="inlineStr">
        <is>
          <t>Alta Clara</t>
        </is>
      </c>
    </row>
    <row r="121">
      <c r="S121" t="inlineStr">
        <is>
          <t>Pasto</t>
        </is>
      </c>
      <c r="T121" t="inlineStr">
        <is>
          <t>El Ejido</t>
        </is>
      </c>
      <c r="V121" t="inlineStr">
        <is>
          <t>Iles</t>
        </is>
      </c>
      <c r="W121" t="inlineStr">
        <is>
          <t>El Capuli</t>
        </is>
      </c>
      <c r="Y121" t="inlineStr">
        <is>
          <t>Buesaco</t>
        </is>
      </c>
      <c r="Z121" t="inlineStr">
        <is>
          <t>Altamira</t>
        </is>
      </c>
    </row>
    <row r="122">
      <c r="S122" t="inlineStr">
        <is>
          <t>Pasto</t>
        </is>
      </c>
      <c r="T122" t="inlineStr">
        <is>
          <t>El Futuro</t>
        </is>
      </c>
      <c r="V122" t="inlineStr">
        <is>
          <t>Iles</t>
        </is>
      </c>
      <c r="W122" t="inlineStr">
        <is>
          <t>El Porvenir</t>
        </is>
      </c>
      <c r="Y122" t="inlineStr">
        <is>
          <t>Buesaco</t>
        </is>
      </c>
      <c r="Z122" t="inlineStr">
        <is>
          <t>Alto Higuerones</t>
        </is>
      </c>
    </row>
    <row r="123">
      <c r="S123" t="inlineStr">
        <is>
          <t>Pasto</t>
        </is>
      </c>
      <c r="T123" t="inlineStr">
        <is>
          <t>El Paraiso</t>
        </is>
      </c>
      <c r="V123" t="inlineStr">
        <is>
          <t>Iles</t>
        </is>
      </c>
      <c r="W123" t="inlineStr">
        <is>
          <t>El Porvenir 1</t>
        </is>
      </c>
      <c r="Y123" t="inlineStr">
        <is>
          <t>Buesaco</t>
        </is>
      </c>
      <c r="Z123" t="inlineStr">
        <is>
          <t>Alto Monsrrate</t>
        </is>
      </c>
    </row>
    <row r="124">
      <c r="S124" t="inlineStr">
        <is>
          <t>Pasto</t>
        </is>
      </c>
      <c r="T124" t="inlineStr">
        <is>
          <t>El Pilar</t>
        </is>
      </c>
      <c r="V124" t="inlineStr">
        <is>
          <t>Iles</t>
        </is>
      </c>
      <c r="W124" t="inlineStr">
        <is>
          <t>San Francisco</t>
        </is>
      </c>
      <c r="Y124" t="inlineStr">
        <is>
          <t>Buesaco</t>
        </is>
      </c>
      <c r="Z124" t="inlineStr">
        <is>
          <t>Alto San Miguel</t>
        </is>
      </c>
    </row>
    <row r="125">
      <c r="S125" t="inlineStr">
        <is>
          <t>Pasto</t>
        </is>
      </c>
      <c r="T125" t="inlineStr">
        <is>
          <t>El Polvorin</t>
        </is>
      </c>
      <c r="V125" t="inlineStr">
        <is>
          <t>Imués</t>
        </is>
      </c>
      <c r="W125" t="inlineStr">
        <is>
          <t>El Pedregal</t>
        </is>
      </c>
      <c r="Y125" t="inlineStr">
        <is>
          <t>Buesaco</t>
        </is>
      </c>
      <c r="Z125" t="inlineStr">
        <is>
          <t>Bermejal</t>
        </is>
      </c>
    </row>
    <row r="126">
      <c r="S126" t="inlineStr">
        <is>
          <t>Pasto</t>
        </is>
      </c>
      <c r="T126" t="inlineStr">
        <is>
          <t>El Prado</t>
        </is>
      </c>
      <c r="V126" t="inlineStr">
        <is>
          <t>Imués</t>
        </is>
      </c>
      <c r="W126" t="inlineStr">
        <is>
          <t>Pilcuan la Recta</t>
        </is>
      </c>
      <c r="Y126" t="inlineStr">
        <is>
          <t>Buesaco</t>
        </is>
      </c>
      <c r="Z126" t="inlineStr">
        <is>
          <t>Bodegas</t>
        </is>
      </c>
    </row>
    <row r="127">
      <c r="S127" t="inlineStr">
        <is>
          <t>Pasto</t>
        </is>
      </c>
      <c r="T127" t="inlineStr">
        <is>
          <t>El Progreso</t>
        </is>
      </c>
      <c r="V127" t="inlineStr">
        <is>
          <t>Imués</t>
        </is>
      </c>
      <c r="W127" t="inlineStr">
        <is>
          <t>Pilcuan Viejo</t>
        </is>
      </c>
      <c r="Y127" t="inlineStr">
        <is>
          <t>Buesaco</t>
        </is>
      </c>
      <c r="Z127" t="inlineStr">
        <is>
          <t>Bruselas</t>
        </is>
      </c>
    </row>
    <row r="128">
      <c r="S128" t="inlineStr">
        <is>
          <t>Pasto</t>
        </is>
      </c>
      <c r="T128" t="inlineStr">
        <is>
          <t>El Recuerdo</t>
        </is>
      </c>
      <c r="V128" t="inlineStr">
        <is>
          <t>Imués</t>
        </is>
      </c>
      <c r="W128" t="inlineStr">
        <is>
          <t>Santa Ana</t>
        </is>
      </c>
      <c r="Y128" t="inlineStr">
        <is>
          <t>Buesaco</t>
        </is>
      </c>
      <c r="Z128" t="inlineStr">
        <is>
          <t>Buesaquito</t>
        </is>
      </c>
    </row>
    <row r="129">
      <c r="S129" t="inlineStr">
        <is>
          <t>Pasto</t>
        </is>
      </c>
      <c r="T129" t="inlineStr">
        <is>
          <t>El Refugio</t>
        </is>
      </c>
      <c r="V129" t="inlineStr">
        <is>
          <t>Ipiales</t>
        </is>
      </c>
      <c r="W129" t="inlineStr">
        <is>
          <t>Brisas del Rumiyaco</t>
        </is>
      </c>
      <c r="Y129" t="inlineStr">
        <is>
          <t>Buesaco</t>
        </is>
      </c>
      <c r="Z129" t="inlineStr">
        <is>
          <t>Coapitas</t>
        </is>
      </c>
    </row>
    <row r="130">
      <c r="S130" t="inlineStr">
        <is>
          <t>Pasto</t>
        </is>
      </c>
      <c r="T130" t="inlineStr">
        <is>
          <t>El Remanso</t>
        </is>
      </c>
      <c r="V130" t="inlineStr">
        <is>
          <t>Ipiales</t>
        </is>
      </c>
      <c r="W130" t="inlineStr">
        <is>
          <t>El Empalme</t>
        </is>
      </c>
      <c r="Y130" t="inlineStr">
        <is>
          <t>Buesaco</t>
        </is>
      </c>
      <c r="Z130" t="inlineStr">
        <is>
          <t>El Cortijo</t>
        </is>
      </c>
    </row>
    <row r="131">
      <c r="S131" t="inlineStr">
        <is>
          <t>Pasto</t>
        </is>
      </c>
      <c r="T131" t="inlineStr">
        <is>
          <t>El Rosario</t>
        </is>
      </c>
      <c r="V131" t="inlineStr">
        <is>
          <t>Ipiales</t>
        </is>
      </c>
      <c r="W131" t="inlineStr">
        <is>
          <t>El Placer</t>
        </is>
      </c>
      <c r="Y131" t="inlineStr">
        <is>
          <t>Buesaco</t>
        </is>
      </c>
      <c r="Z131" t="inlineStr">
        <is>
          <t>El Manzano</t>
        </is>
      </c>
    </row>
    <row r="132">
      <c r="S132" t="inlineStr">
        <is>
          <t>Pasto</t>
        </is>
      </c>
      <c r="T132" t="inlineStr">
        <is>
          <t>El Tejar</t>
        </is>
      </c>
      <c r="V132" t="inlineStr">
        <is>
          <t>Ipiales</t>
        </is>
      </c>
      <c r="W132" t="inlineStr">
        <is>
          <t>Guacan</t>
        </is>
      </c>
      <c r="Y132" t="inlineStr">
        <is>
          <t>Buesaco</t>
        </is>
      </c>
      <c r="Z132" t="inlineStr">
        <is>
          <t>El Palmar</t>
        </is>
      </c>
    </row>
    <row r="133">
      <c r="S133" t="inlineStr">
        <is>
          <t>Pasto</t>
        </is>
      </c>
      <c r="T133" t="inlineStr">
        <is>
          <t>El Triunfo</t>
        </is>
      </c>
      <c r="V133" t="inlineStr">
        <is>
          <t>Ipiales</t>
        </is>
      </c>
      <c r="W133" t="inlineStr">
        <is>
          <t>Inagan</t>
        </is>
      </c>
      <c r="Y133" t="inlineStr">
        <is>
          <t>Buesaco</t>
        </is>
      </c>
      <c r="Z133" t="inlineStr">
        <is>
          <t>El Retiro</t>
        </is>
      </c>
    </row>
    <row r="134">
      <c r="S134" t="inlineStr">
        <is>
          <t>Pasto</t>
        </is>
      </c>
      <c r="T134" t="inlineStr">
        <is>
          <t>Emilio Botero I</t>
        </is>
      </c>
      <c r="V134" t="inlineStr">
        <is>
          <t>Ipiales</t>
        </is>
      </c>
      <c r="W134" t="inlineStr">
        <is>
          <t>Jardines de Sucumbios</t>
        </is>
      </c>
      <c r="Y134" t="inlineStr">
        <is>
          <t>Buesaco</t>
        </is>
      </c>
      <c r="Z134" t="inlineStr">
        <is>
          <t>El Socorro</t>
        </is>
      </c>
    </row>
    <row r="135">
      <c r="S135" t="inlineStr">
        <is>
          <t>Pasto</t>
        </is>
      </c>
      <c r="T135" t="inlineStr">
        <is>
          <t>Emilio Botero Ii</t>
        </is>
      </c>
      <c r="V135" t="inlineStr">
        <is>
          <t>Ipiales</t>
        </is>
      </c>
      <c r="W135" t="inlineStr">
        <is>
          <t>La Libertad</t>
        </is>
      </c>
      <c r="Y135" t="inlineStr">
        <is>
          <t>Buesaco</t>
        </is>
      </c>
      <c r="Z135" t="inlineStr">
        <is>
          <t>Granadillo de Chavez</t>
        </is>
      </c>
    </row>
    <row r="136">
      <c r="S136" t="inlineStr">
        <is>
          <t>Pasto</t>
        </is>
      </c>
      <c r="T136" t="inlineStr">
        <is>
          <t>Estrella de Oriente</t>
        </is>
      </c>
      <c r="V136" t="inlineStr">
        <is>
          <t>Ipiales</t>
        </is>
      </c>
      <c r="W136" t="inlineStr">
        <is>
          <t>La Victoria</t>
        </is>
      </c>
      <c r="Y136" t="inlineStr">
        <is>
          <t>Buesaco</t>
        </is>
      </c>
      <c r="Z136" t="inlineStr">
        <is>
          <t>Granadillo de Lunas</t>
        </is>
      </c>
    </row>
    <row r="137">
      <c r="S137" t="inlineStr">
        <is>
          <t>Pasto</t>
        </is>
      </c>
      <c r="T137" t="inlineStr">
        <is>
          <t>Fatima</t>
        </is>
      </c>
      <c r="V137" t="inlineStr">
        <is>
          <t>Ipiales</t>
        </is>
      </c>
      <c r="W137" t="inlineStr">
        <is>
          <t>Las Cruces</t>
        </is>
      </c>
      <c r="Y137" t="inlineStr">
        <is>
          <t>Buesaco</t>
        </is>
      </c>
      <c r="Z137" t="inlineStr">
        <is>
          <t>Guadalupe</t>
        </is>
      </c>
    </row>
    <row r="138">
      <c r="S138" t="inlineStr">
        <is>
          <t>Pasto</t>
        </is>
      </c>
      <c r="T138" t="inlineStr">
        <is>
          <t>Figueroa</t>
        </is>
      </c>
      <c r="V138" t="inlineStr">
        <is>
          <t>Ipiales</t>
        </is>
      </c>
      <c r="W138" t="inlineStr">
        <is>
          <t>Las Lajas</t>
        </is>
      </c>
      <c r="Y138" t="inlineStr">
        <is>
          <t>Buesaco</t>
        </is>
      </c>
      <c r="Z138" t="inlineStr">
        <is>
          <t>Guayabal Tongosoy</t>
        </is>
      </c>
    </row>
    <row r="139">
      <c r="S139" t="inlineStr">
        <is>
          <t>Pasto</t>
        </is>
      </c>
      <c r="T139" t="inlineStr">
        <is>
          <t>Francisco de la Villota</t>
        </is>
      </c>
      <c r="V139" t="inlineStr">
        <is>
          <t>Ipiales</t>
        </is>
      </c>
      <c r="W139" t="inlineStr">
        <is>
          <t>Lomas de Suras</t>
        </is>
      </c>
      <c r="Y139" t="inlineStr">
        <is>
          <t>Buesaco</t>
        </is>
      </c>
      <c r="Z139" t="inlineStr">
        <is>
          <t>Hatillo Buenos Aires</t>
        </is>
      </c>
    </row>
    <row r="140">
      <c r="S140" t="inlineStr">
        <is>
          <t>Pasto</t>
        </is>
      </c>
      <c r="T140" t="inlineStr">
        <is>
          <t>Fray Ezequiel Moreno</t>
        </is>
      </c>
      <c r="V140" t="inlineStr">
        <is>
          <t>Ipiales</t>
        </is>
      </c>
      <c r="W140" t="inlineStr">
        <is>
          <t>Los Chilcos</t>
        </is>
      </c>
      <c r="Y140" t="inlineStr">
        <is>
          <t>Buesaco</t>
        </is>
      </c>
      <c r="Z140" t="inlineStr">
        <is>
          <t>Hato Tongosoy</t>
        </is>
      </c>
    </row>
    <row r="141">
      <c r="S141" t="inlineStr">
        <is>
          <t>Pasto</t>
        </is>
      </c>
      <c r="T141" t="inlineStr">
        <is>
          <t>Fundadores</t>
        </is>
      </c>
      <c r="V141" t="inlineStr">
        <is>
          <t>Ipiales</t>
        </is>
      </c>
      <c r="W141" t="inlineStr">
        <is>
          <t>Los Marcos</t>
        </is>
      </c>
      <c r="Y141" t="inlineStr">
        <is>
          <t>Buesaco</t>
        </is>
      </c>
      <c r="Z141" t="inlineStr">
        <is>
          <t>Ignacio</t>
        </is>
      </c>
    </row>
    <row r="142">
      <c r="S142" t="inlineStr">
        <is>
          <t>Pasto</t>
        </is>
      </c>
      <c r="T142" t="inlineStr">
        <is>
          <t>Gilberto Pabon</t>
        </is>
      </c>
      <c r="V142" t="inlineStr">
        <is>
          <t>Ipiales</t>
        </is>
      </c>
      <c r="W142" t="inlineStr">
        <is>
          <t>San Juan</t>
        </is>
      </c>
      <c r="Y142" t="inlineStr">
        <is>
          <t>Buesaco</t>
        </is>
      </c>
      <c r="Z142" t="inlineStr">
        <is>
          <t>Ijagüi</t>
        </is>
      </c>
    </row>
    <row r="143">
      <c r="S143" t="inlineStr">
        <is>
          <t>Pasto</t>
        </is>
      </c>
      <c r="T143" t="inlineStr">
        <is>
          <t>Gran Colombia</t>
        </is>
      </c>
      <c r="V143" t="inlineStr">
        <is>
          <t>Ipiales</t>
        </is>
      </c>
      <c r="W143" t="inlineStr">
        <is>
          <t>Yanala</t>
        </is>
      </c>
      <c r="Y143" t="inlineStr">
        <is>
          <t>Buesaco</t>
        </is>
      </c>
      <c r="Z143" t="inlineStr">
        <is>
          <t>Juanambu</t>
        </is>
      </c>
    </row>
    <row r="144">
      <c r="S144" t="inlineStr">
        <is>
          <t>Pasto</t>
        </is>
      </c>
      <c r="T144" t="inlineStr">
        <is>
          <t>Granada</t>
        </is>
      </c>
      <c r="V144" t="inlineStr">
        <is>
          <t>Ipiales</t>
        </is>
      </c>
      <c r="W144" t="inlineStr">
        <is>
          <t>Yaramal</t>
        </is>
      </c>
      <c r="Y144" t="inlineStr">
        <is>
          <t>Buesaco</t>
        </is>
      </c>
      <c r="Z144" t="inlineStr">
        <is>
          <t>La Cruz de San Antonio</t>
        </is>
      </c>
    </row>
    <row r="145">
      <c r="S145" t="inlineStr">
        <is>
          <t>Pasto</t>
        </is>
      </c>
      <c r="T145" t="inlineStr">
        <is>
          <t>Granada Iii</t>
        </is>
      </c>
      <c r="V145" t="inlineStr">
        <is>
          <t>Ipiales</t>
        </is>
      </c>
      <c r="W145" t="inlineStr">
        <is>
          <t>Zaguarán</t>
        </is>
      </c>
      <c r="Y145" t="inlineStr">
        <is>
          <t>Buesaco</t>
        </is>
      </c>
      <c r="Z145" t="inlineStr">
        <is>
          <t>La Curia</t>
        </is>
      </c>
    </row>
    <row r="146">
      <c r="S146" t="inlineStr">
        <is>
          <t>Pasto</t>
        </is>
      </c>
      <c r="T146" t="inlineStr">
        <is>
          <t>Gualcala</t>
        </is>
      </c>
      <c r="V146" t="inlineStr">
        <is>
          <t>La Cruz</t>
        </is>
      </c>
      <c r="W146" t="inlineStr">
        <is>
          <t>Cabuyales</t>
        </is>
      </c>
      <c r="Y146" t="inlineStr">
        <is>
          <t>Buesaco</t>
        </is>
      </c>
      <c r="Z146" t="inlineStr">
        <is>
          <t>La Esperanza</t>
        </is>
      </c>
    </row>
    <row r="147">
      <c r="S147" t="inlineStr">
        <is>
          <t>Pasto</t>
        </is>
      </c>
      <c r="T147" t="inlineStr">
        <is>
          <t>Gualcaloma</t>
        </is>
      </c>
      <c r="V147" t="inlineStr">
        <is>
          <t>La Cruz</t>
        </is>
      </c>
      <c r="W147" t="inlineStr">
        <is>
          <t>La Estancia</t>
        </is>
      </c>
      <c r="Y147" t="inlineStr">
        <is>
          <t>Buesaco</t>
        </is>
      </c>
      <c r="Z147" t="inlineStr">
        <is>
          <t>La Estancia</t>
        </is>
      </c>
    </row>
    <row r="148">
      <c r="S148" t="inlineStr">
        <is>
          <t>Pasto</t>
        </is>
      </c>
      <c r="T148" t="inlineStr">
        <is>
          <t>Gualcaloma Iv</t>
        </is>
      </c>
      <c r="V148" t="inlineStr">
        <is>
          <t>La Cruz</t>
        </is>
      </c>
      <c r="W148" t="inlineStr">
        <is>
          <t>San Gerardo</t>
        </is>
      </c>
      <c r="Y148" t="inlineStr">
        <is>
          <t>Buesaco</t>
        </is>
      </c>
      <c r="Z148" t="inlineStr">
        <is>
          <t>La Gusca</t>
        </is>
      </c>
    </row>
    <row r="149">
      <c r="S149" t="inlineStr">
        <is>
          <t>Pasto</t>
        </is>
      </c>
      <c r="T149" t="inlineStr">
        <is>
          <t>Guamuez I</t>
        </is>
      </c>
      <c r="V149" t="inlineStr">
        <is>
          <t>La Cruz</t>
        </is>
      </c>
      <c r="W149" t="inlineStr">
        <is>
          <t>Tajumbina</t>
        </is>
      </c>
      <c r="Y149" t="inlineStr">
        <is>
          <t>Buesaco</t>
        </is>
      </c>
      <c r="Z149" t="inlineStr">
        <is>
          <t>La Inmaculada</t>
        </is>
      </c>
    </row>
    <row r="150">
      <c r="S150" t="inlineStr">
        <is>
          <t>Pasto</t>
        </is>
      </c>
      <c r="T150" t="inlineStr">
        <is>
          <t>Guamuez Ii</t>
        </is>
      </c>
      <c r="V150" t="inlineStr">
        <is>
          <t>La Florida</t>
        </is>
      </c>
      <c r="W150" t="inlineStr">
        <is>
          <t>Achupayas</t>
        </is>
      </c>
      <c r="Y150" t="inlineStr">
        <is>
          <t>Buesaco</t>
        </is>
      </c>
      <c r="Z150" t="inlineStr">
        <is>
          <t>La Palma</t>
        </is>
      </c>
    </row>
    <row r="151">
      <c r="S151" t="inlineStr">
        <is>
          <t>Pasto</t>
        </is>
      </c>
      <c r="T151" t="inlineStr">
        <is>
          <t>Hospital San Pedro</t>
        </is>
      </c>
      <c r="V151" t="inlineStr">
        <is>
          <t>La Florida</t>
        </is>
      </c>
      <c r="W151" t="inlineStr">
        <is>
          <t>El Rodeo</t>
        </is>
      </c>
      <c r="Y151" t="inlineStr">
        <is>
          <t>Buesaco</t>
        </is>
      </c>
      <c r="Z151" t="inlineStr">
        <is>
          <t>La Piedra</t>
        </is>
      </c>
    </row>
    <row r="152">
      <c r="S152" t="inlineStr">
        <is>
          <t>Pasto</t>
        </is>
      </c>
      <c r="T152" t="inlineStr">
        <is>
          <t>Hospital San Rafael</t>
        </is>
      </c>
      <c r="V152" t="inlineStr">
        <is>
          <t>La Florida</t>
        </is>
      </c>
      <c r="W152" t="inlineStr">
        <is>
          <t>Matituy</t>
        </is>
      </c>
      <c r="Y152" t="inlineStr">
        <is>
          <t>Buesaco</t>
        </is>
      </c>
      <c r="Z152" t="inlineStr">
        <is>
          <t>La Represa</t>
        </is>
      </c>
    </row>
    <row r="153">
      <c r="S153" t="inlineStr">
        <is>
          <t>Pasto</t>
        </is>
      </c>
      <c r="T153" t="inlineStr">
        <is>
          <t>Ie Inem</t>
        </is>
      </c>
      <c r="V153" t="inlineStr">
        <is>
          <t>La Florida</t>
        </is>
      </c>
      <c r="W153" t="inlineStr">
        <is>
          <t>Panchindo</t>
        </is>
      </c>
      <c r="Y153" t="inlineStr">
        <is>
          <t>Buesaco</t>
        </is>
      </c>
      <c r="Z153" t="inlineStr">
        <is>
          <t>La Sacha</t>
        </is>
      </c>
    </row>
    <row r="154">
      <c r="S154" t="inlineStr">
        <is>
          <t>Pasto</t>
        </is>
      </c>
      <c r="T154" t="inlineStr">
        <is>
          <t>Ie Pedagogico</t>
        </is>
      </c>
      <c r="V154" t="inlineStr">
        <is>
          <t>La Florida</t>
        </is>
      </c>
      <c r="W154" t="inlineStr">
        <is>
          <t>Robles</t>
        </is>
      </c>
      <c r="Y154" t="inlineStr">
        <is>
          <t>Buesaco</t>
        </is>
      </c>
      <c r="Z154" t="inlineStr">
        <is>
          <t>La Susunga</t>
        </is>
      </c>
    </row>
    <row r="155">
      <c r="S155" t="inlineStr">
        <is>
          <t>Pasto</t>
        </is>
      </c>
      <c r="T155" t="inlineStr">
        <is>
          <t>Iem Itsin</t>
        </is>
      </c>
      <c r="V155" t="inlineStr">
        <is>
          <t>La Florida</t>
        </is>
      </c>
      <c r="W155" t="inlineStr">
        <is>
          <t>Tunja la Grande</t>
        </is>
      </c>
      <c r="Y155" t="inlineStr">
        <is>
          <t>Buesaco</t>
        </is>
      </c>
      <c r="Z155" t="inlineStr">
        <is>
          <t>Lagunetas</t>
        </is>
      </c>
    </row>
    <row r="156">
      <c r="S156" t="inlineStr">
        <is>
          <t>Pasto</t>
        </is>
      </c>
      <c r="T156" t="inlineStr">
        <is>
          <t>Iem Libertad</t>
        </is>
      </c>
      <c r="V156" t="inlineStr">
        <is>
          <t>La Llanada</t>
        </is>
      </c>
      <c r="W156" t="inlineStr">
        <is>
          <t>Bolívar</t>
        </is>
      </c>
      <c r="Y156" t="inlineStr">
        <is>
          <t>Buesaco</t>
        </is>
      </c>
      <c r="Z156" t="inlineStr">
        <is>
          <t>Las Minas el Avión</t>
        </is>
      </c>
    </row>
    <row r="157">
      <c r="S157" t="inlineStr">
        <is>
          <t>Pasto</t>
        </is>
      </c>
      <c r="T157" t="inlineStr">
        <is>
          <t>Iem Normal Superior</t>
        </is>
      </c>
      <c r="V157" t="inlineStr">
        <is>
          <t>La Llanada</t>
        </is>
      </c>
      <c r="W157" t="inlineStr">
        <is>
          <t>Vergel</t>
        </is>
      </c>
      <c r="Y157" t="inlineStr">
        <is>
          <t>Buesaco</t>
        </is>
      </c>
      <c r="Z157" t="inlineStr">
        <is>
          <t>Llano Largo</t>
        </is>
      </c>
    </row>
    <row r="158">
      <c r="S158" t="inlineStr">
        <is>
          <t>Pasto</t>
        </is>
      </c>
      <c r="T158" t="inlineStr">
        <is>
          <t>Jamondino</t>
        </is>
      </c>
      <c r="V158" t="inlineStr">
        <is>
          <t>La Tola</t>
        </is>
      </c>
      <c r="W158" t="inlineStr">
        <is>
          <t>Amarales</t>
        </is>
      </c>
      <c r="Y158" t="inlineStr">
        <is>
          <t>Buesaco</t>
        </is>
      </c>
      <c r="Z158" t="inlineStr">
        <is>
          <t>Llanos Juanambú</t>
        </is>
      </c>
    </row>
    <row r="159">
      <c r="S159" t="inlineStr">
        <is>
          <t>Pasto</t>
        </is>
      </c>
      <c r="T159" t="inlineStr">
        <is>
          <t>Jardin del Atriz</t>
        </is>
      </c>
      <c r="V159" t="inlineStr">
        <is>
          <t>La Tola</t>
        </is>
      </c>
      <c r="W159" t="inlineStr">
        <is>
          <t>Bajo Palomino</t>
        </is>
      </c>
      <c r="Y159" t="inlineStr">
        <is>
          <t>Buesaco</t>
        </is>
      </c>
      <c r="Z159" t="inlineStr">
        <is>
          <t>Loma Franco Villa</t>
        </is>
      </c>
    </row>
    <row r="160">
      <c r="S160" t="inlineStr">
        <is>
          <t>Pasto</t>
        </is>
      </c>
      <c r="T160" t="inlineStr">
        <is>
          <t>Jardines Cementerio Cristo Rey</t>
        </is>
      </c>
      <c r="V160" t="inlineStr">
        <is>
          <t>La Tola</t>
        </is>
      </c>
      <c r="W160" t="inlineStr">
        <is>
          <t>Mulatos</t>
        </is>
      </c>
      <c r="Y160" t="inlineStr">
        <is>
          <t>Buesaco</t>
        </is>
      </c>
      <c r="Z160" t="inlineStr">
        <is>
          <t>Medina Espejo</t>
        </is>
      </c>
    </row>
    <row r="161">
      <c r="S161" t="inlineStr">
        <is>
          <t>Pasto</t>
        </is>
      </c>
      <c r="T161" t="inlineStr">
        <is>
          <t>Jardines Cementerio de las Mercedes</t>
        </is>
      </c>
      <c r="V161" t="inlineStr">
        <is>
          <t>La Tola</t>
        </is>
      </c>
      <c r="W161" t="inlineStr">
        <is>
          <t>Nerete</t>
        </is>
      </c>
      <c r="Y161" t="inlineStr">
        <is>
          <t>Buesaco</t>
        </is>
      </c>
      <c r="Z161" t="inlineStr">
        <is>
          <t>Medina Hatillo</t>
        </is>
      </c>
    </row>
    <row r="162">
      <c r="S162" t="inlineStr">
        <is>
          <t>Pasto</t>
        </is>
      </c>
      <c r="T162" t="inlineStr">
        <is>
          <t>Javeriano</t>
        </is>
      </c>
      <c r="V162" t="inlineStr">
        <is>
          <t>La Tola</t>
        </is>
      </c>
      <c r="W162" t="inlineStr">
        <is>
          <t>Pangamosa</t>
        </is>
      </c>
      <c r="Y162" t="inlineStr">
        <is>
          <t>Buesaco</t>
        </is>
      </c>
      <c r="Z162" t="inlineStr">
        <is>
          <t>Medina Orjuela</t>
        </is>
      </c>
    </row>
    <row r="163">
      <c r="S163" t="inlineStr">
        <is>
          <t>Pasto</t>
        </is>
      </c>
      <c r="T163" t="inlineStr">
        <is>
          <t>Jerusalen</t>
        </is>
      </c>
      <c r="V163" t="inlineStr">
        <is>
          <t>La Tola</t>
        </is>
      </c>
      <c r="W163" t="inlineStr">
        <is>
          <t>Pioja</t>
        </is>
      </c>
      <c r="Y163" t="inlineStr">
        <is>
          <t>Buesaco</t>
        </is>
      </c>
      <c r="Z163" t="inlineStr">
        <is>
          <t>Medina Sacanambuy</t>
        </is>
      </c>
    </row>
    <row r="164">
      <c r="S164" t="inlineStr">
        <is>
          <t>Pasto</t>
        </is>
      </c>
      <c r="T164" t="inlineStr">
        <is>
          <t>Jerusalen Ii</t>
        </is>
      </c>
      <c r="V164" t="inlineStr">
        <is>
          <t>La Tola</t>
        </is>
      </c>
      <c r="W164" t="inlineStr">
        <is>
          <t>Pueblito</t>
        </is>
      </c>
      <c r="Y164" t="inlineStr">
        <is>
          <t>Buesaco</t>
        </is>
      </c>
      <c r="Z164" t="inlineStr">
        <is>
          <t>Meneses Hurtado</t>
        </is>
      </c>
    </row>
    <row r="165">
      <c r="S165" t="inlineStr">
        <is>
          <t>Pasto</t>
        </is>
      </c>
      <c r="T165" t="inlineStr">
        <is>
          <t>Jongovito</t>
        </is>
      </c>
      <c r="V165" t="inlineStr">
        <is>
          <t>La Tola</t>
        </is>
      </c>
      <c r="W165" t="inlineStr">
        <is>
          <t>San Pablo Mar</t>
        </is>
      </c>
      <c r="Y165" t="inlineStr">
        <is>
          <t>Buesaco</t>
        </is>
      </c>
      <c r="Z165" t="inlineStr">
        <is>
          <t>México</t>
        </is>
      </c>
    </row>
    <row r="166">
      <c r="S166" t="inlineStr">
        <is>
          <t>Pasto</t>
        </is>
      </c>
      <c r="T166" t="inlineStr">
        <is>
          <t>Jorge Giraldo</t>
        </is>
      </c>
      <c r="V166" t="inlineStr">
        <is>
          <t>La Tola</t>
        </is>
      </c>
      <c r="W166" t="inlineStr">
        <is>
          <t>Vigia de la Mar</t>
        </is>
      </c>
      <c r="Y166" t="inlineStr">
        <is>
          <t>Buesaco</t>
        </is>
      </c>
      <c r="Z166" t="inlineStr">
        <is>
          <t>Naranjal</t>
        </is>
      </c>
    </row>
    <row r="167">
      <c r="S167" t="inlineStr">
        <is>
          <t>Pasto</t>
        </is>
      </c>
      <c r="T167" t="inlineStr">
        <is>
          <t>Jose Antonio Galan</t>
        </is>
      </c>
      <c r="V167" t="inlineStr">
        <is>
          <t>La Unión</t>
        </is>
      </c>
      <c r="W167" t="inlineStr">
        <is>
          <t>El Mango</t>
        </is>
      </c>
      <c r="Y167" t="inlineStr">
        <is>
          <t>Buesaco</t>
        </is>
      </c>
      <c r="Z167" t="inlineStr">
        <is>
          <t>Ortega las Cochas</t>
        </is>
      </c>
    </row>
    <row r="168">
      <c r="S168" t="inlineStr">
        <is>
          <t>Pasto</t>
        </is>
      </c>
      <c r="T168" t="inlineStr">
        <is>
          <t>Juan Pablo Ii</t>
        </is>
      </c>
      <c r="V168" t="inlineStr">
        <is>
          <t>La Unión</t>
        </is>
      </c>
      <c r="W168" t="inlineStr">
        <is>
          <t>La Betulia</t>
        </is>
      </c>
      <c r="Y168" t="inlineStr">
        <is>
          <t>Buesaco</t>
        </is>
      </c>
      <c r="Z168" t="inlineStr">
        <is>
          <t>Ortega los Corrales</t>
        </is>
      </c>
    </row>
    <row r="169">
      <c r="S169" t="inlineStr">
        <is>
          <t>Pasto</t>
        </is>
      </c>
      <c r="T169" t="inlineStr">
        <is>
          <t>Juan Xxiii</t>
        </is>
      </c>
      <c r="V169" t="inlineStr">
        <is>
          <t>La Unión</t>
        </is>
      </c>
      <c r="W169" t="inlineStr">
        <is>
          <t>La Betulia Bajo</t>
        </is>
      </c>
      <c r="Y169" t="inlineStr">
        <is>
          <t>Buesaco</t>
        </is>
      </c>
      <c r="Z169" t="inlineStr">
        <is>
          <t>Pajajoy</t>
        </is>
      </c>
    </row>
    <row r="170">
      <c r="S170" t="inlineStr">
        <is>
          <t>Pasto</t>
        </is>
      </c>
      <c r="T170" t="inlineStr">
        <is>
          <t>Juanoy Alto</t>
        </is>
      </c>
      <c r="V170" t="inlineStr">
        <is>
          <t>La Unión</t>
        </is>
      </c>
      <c r="W170" t="inlineStr">
        <is>
          <t>La Caldera</t>
        </is>
      </c>
      <c r="Y170" t="inlineStr">
        <is>
          <t>Buesaco</t>
        </is>
      </c>
      <c r="Z170" t="inlineStr">
        <is>
          <t>Palacinoy</t>
        </is>
      </c>
    </row>
    <row r="171">
      <c r="S171" t="inlineStr">
        <is>
          <t>Pasto</t>
        </is>
      </c>
      <c r="T171" t="inlineStr">
        <is>
          <t>Juanoy Bajo</t>
        </is>
      </c>
      <c r="V171" t="inlineStr">
        <is>
          <t>La Unión</t>
        </is>
      </c>
      <c r="W171" t="inlineStr">
        <is>
          <t>La Playa</t>
        </is>
      </c>
      <c r="Y171" t="inlineStr">
        <is>
          <t>Buesaco</t>
        </is>
      </c>
      <c r="Z171" t="inlineStr">
        <is>
          <t>Palsumbo</t>
        </is>
      </c>
    </row>
    <row r="172">
      <c r="S172" t="inlineStr">
        <is>
          <t>Pasto</t>
        </is>
      </c>
      <c r="T172" t="inlineStr">
        <is>
          <t>Julian Buchelli</t>
        </is>
      </c>
      <c r="V172" t="inlineStr">
        <is>
          <t>La Unión</t>
        </is>
      </c>
      <c r="W172" t="inlineStr">
        <is>
          <t>Olivos</t>
        </is>
      </c>
      <c r="Y172" t="inlineStr">
        <is>
          <t>Buesaco</t>
        </is>
      </c>
      <c r="Z172" t="inlineStr">
        <is>
          <t>Parapetos</t>
        </is>
      </c>
    </row>
    <row r="173">
      <c r="S173" t="inlineStr">
        <is>
          <t>Pasto</t>
        </is>
      </c>
      <c r="T173" t="inlineStr">
        <is>
          <t>La Aurora</t>
        </is>
      </c>
      <c r="V173" t="inlineStr">
        <is>
          <t>La Unión</t>
        </is>
      </c>
      <c r="W173" t="inlineStr">
        <is>
          <t>Quiroz Alto</t>
        </is>
      </c>
      <c r="Y173" t="inlineStr">
        <is>
          <t>Buesaco</t>
        </is>
      </c>
      <c r="Z173" t="inlineStr">
        <is>
          <t>Quitopamba</t>
        </is>
      </c>
    </row>
    <row r="174">
      <c r="S174" t="inlineStr">
        <is>
          <t>Pasto</t>
        </is>
      </c>
      <c r="T174" t="inlineStr">
        <is>
          <t>La Carolina</t>
        </is>
      </c>
      <c r="V174" t="inlineStr">
        <is>
          <t>La Unión</t>
        </is>
      </c>
      <c r="W174" t="inlineStr">
        <is>
          <t>Santander</t>
        </is>
      </c>
      <c r="Y174" t="inlineStr">
        <is>
          <t>Buesaco</t>
        </is>
      </c>
      <c r="Z174" t="inlineStr">
        <is>
          <t>Risaralda</t>
        </is>
      </c>
    </row>
    <row r="175">
      <c r="S175" t="inlineStr">
        <is>
          <t>Pasto</t>
        </is>
      </c>
      <c r="T175" t="inlineStr">
        <is>
          <t>La Castellana</t>
        </is>
      </c>
      <c r="V175" t="inlineStr">
        <is>
          <t>Leiva</t>
        </is>
      </c>
      <c r="W175" t="inlineStr">
        <is>
          <t>El Palmar</t>
        </is>
      </c>
      <c r="Y175" t="inlineStr">
        <is>
          <t>Buesaco</t>
        </is>
      </c>
      <c r="Z175" t="inlineStr">
        <is>
          <t>Sachacuy</t>
        </is>
      </c>
    </row>
    <row r="176">
      <c r="S176" t="inlineStr">
        <is>
          <t>Pasto</t>
        </is>
      </c>
      <c r="T176" t="inlineStr">
        <is>
          <t>La Colina</t>
        </is>
      </c>
      <c r="V176" t="inlineStr">
        <is>
          <t>Leiva</t>
        </is>
      </c>
      <c r="W176" t="inlineStr">
        <is>
          <t>El Tablón</t>
        </is>
      </c>
      <c r="Y176" t="inlineStr">
        <is>
          <t>Buesaco</t>
        </is>
      </c>
      <c r="Z176" t="inlineStr">
        <is>
          <t>San Antonio</t>
        </is>
      </c>
    </row>
    <row r="177">
      <c r="S177" t="inlineStr">
        <is>
          <t>Pasto</t>
        </is>
      </c>
      <c r="T177" t="inlineStr">
        <is>
          <t>La Cruz</t>
        </is>
      </c>
      <c r="V177" t="inlineStr">
        <is>
          <t>Leiva</t>
        </is>
      </c>
      <c r="W177" t="inlineStr">
        <is>
          <t>La Florida</t>
        </is>
      </c>
      <c r="Y177" t="inlineStr">
        <is>
          <t>Buesaco</t>
        </is>
      </c>
      <c r="Z177" t="inlineStr">
        <is>
          <t>San Bosco</t>
        </is>
      </c>
    </row>
    <row r="178">
      <c r="S178" t="inlineStr">
        <is>
          <t>Pasto</t>
        </is>
      </c>
      <c r="T178" t="inlineStr">
        <is>
          <t>La Esmeralda</t>
        </is>
      </c>
      <c r="V178" t="inlineStr">
        <is>
          <t>Leiva</t>
        </is>
      </c>
      <c r="W178" t="inlineStr">
        <is>
          <t>Las Delicias</t>
        </is>
      </c>
      <c r="Y178" t="inlineStr">
        <is>
          <t>Buesaco</t>
        </is>
      </c>
      <c r="Z178" t="inlineStr">
        <is>
          <t>San Isidro</t>
        </is>
      </c>
    </row>
    <row r="179">
      <c r="S179" t="inlineStr">
        <is>
          <t>Pasto</t>
        </is>
      </c>
      <c r="T179" t="inlineStr">
        <is>
          <t>La Esperanza</t>
        </is>
      </c>
      <c r="V179" t="inlineStr">
        <is>
          <t>Leiva</t>
        </is>
      </c>
      <c r="W179" t="inlineStr">
        <is>
          <t>Puerto Nuevo</t>
        </is>
      </c>
      <c r="Y179" t="inlineStr">
        <is>
          <t>Buesaco</t>
        </is>
      </c>
      <c r="Z179" t="inlineStr">
        <is>
          <t>San Martin</t>
        </is>
      </c>
    </row>
    <row r="180">
      <c r="S180" t="inlineStr">
        <is>
          <t>Pasto</t>
        </is>
      </c>
      <c r="T180" t="inlineStr">
        <is>
          <t>La Estrella</t>
        </is>
      </c>
      <c r="V180" t="inlineStr">
        <is>
          <t>Leiva</t>
        </is>
      </c>
      <c r="W180" t="inlineStr">
        <is>
          <t>Santa Lucía</t>
        </is>
      </c>
      <c r="Y180" t="inlineStr">
        <is>
          <t>Buesaco</t>
        </is>
      </c>
      <c r="Z180" t="inlineStr">
        <is>
          <t>San Miguel</t>
        </is>
      </c>
    </row>
    <row r="181">
      <c r="S181" t="inlineStr">
        <is>
          <t>Pasto</t>
        </is>
      </c>
      <c r="T181" t="inlineStr">
        <is>
          <t>La Floresta</t>
        </is>
      </c>
      <c r="V181" t="inlineStr">
        <is>
          <t>Leiva</t>
        </is>
      </c>
      <c r="W181" t="inlineStr">
        <is>
          <t>Villa Baja</t>
        </is>
      </c>
      <c r="Y181" t="inlineStr">
        <is>
          <t>Buesaco</t>
        </is>
      </c>
      <c r="Z181" t="inlineStr">
        <is>
          <t>San Miguel el Socorro</t>
        </is>
      </c>
    </row>
    <row r="182">
      <c r="S182" t="inlineStr">
        <is>
          <t>Pasto</t>
        </is>
      </c>
      <c r="T182" t="inlineStr">
        <is>
          <t>La Florida</t>
        </is>
      </c>
      <c r="V182" t="inlineStr">
        <is>
          <t>Linares</t>
        </is>
      </c>
      <c r="W182" t="inlineStr">
        <is>
          <t>Arboledas</t>
        </is>
      </c>
      <c r="Y182" t="inlineStr">
        <is>
          <t>Buesaco</t>
        </is>
      </c>
      <c r="Z182" t="inlineStr">
        <is>
          <t>San Vicente</t>
        </is>
      </c>
    </row>
    <row r="183">
      <c r="S183" t="inlineStr">
        <is>
          <t>Pasto</t>
        </is>
      </c>
      <c r="T183" t="inlineStr">
        <is>
          <t>La Josefina</t>
        </is>
      </c>
      <c r="V183" t="inlineStr">
        <is>
          <t>Linares</t>
        </is>
      </c>
      <c r="W183" t="inlineStr">
        <is>
          <t>Bella Florida</t>
        </is>
      </c>
      <c r="Y183" t="inlineStr">
        <is>
          <t>Buesaco</t>
        </is>
      </c>
      <c r="Z183" t="inlineStr">
        <is>
          <t>Santa María</t>
        </is>
      </c>
    </row>
    <row r="184">
      <c r="S184" t="inlineStr">
        <is>
          <t>Pasto</t>
        </is>
      </c>
      <c r="T184" t="inlineStr">
        <is>
          <t>La Libertad</t>
        </is>
      </c>
      <c r="V184" t="inlineStr">
        <is>
          <t>Linares</t>
        </is>
      </c>
      <c r="W184" t="inlineStr">
        <is>
          <t>Bella Vista</t>
        </is>
      </c>
      <c r="Y184" t="inlineStr">
        <is>
          <t>Buesaco</t>
        </is>
      </c>
      <c r="Z184" t="inlineStr">
        <is>
          <t>Santafe</t>
        </is>
      </c>
    </row>
    <row r="185">
      <c r="S185" t="inlineStr">
        <is>
          <t>Pasto</t>
        </is>
      </c>
      <c r="T185" t="inlineStr">
        <is>
          <t>La Lomita</t>
        </is>
      </c>
      <c r="V185" t="inlineStr">
        <is>
          <t>Linares</t>
        </is>
      </c>
      <c r="W185" t="inlineStr">
        <is>
          <t>San Francisco</t>
        </is>
      </c>
      <c r="Y185" t="inlineStr">
        <is>
          <t>Buesaco</t>
        </is>
      </c>
      <c r="Z185" t="inlineStr">
        <is>
          <t>Sumapaz</t>
        </is>
      </c>
    </row>
    <row r="186">
      <c r="S186" t="inlineStr">
        <is>
          <t>Pasto</t>
        </is>
      </c>
      <c r="T186" t="inlineStr">
        <is>
          <t>La Minga</t>
        </is>
      </c>
      <c r="V186" t="inlineStr">
        <is>
          <t>Linares</t>
        </is>
      </c>
      <c r="W186" t="inlineStr">
        <is>
          <t>Tabiles</t>
        </is>
      </c>
      <c r="Y186" t="inlineStr">
        <is>
          <t>Buesaco</t>
        </is>
      </c>
      <c r="Z186" t="inlineStr">
        <is>
          <t>Tambillo</t>
        </is>
      </c>
    </row>
    <row r="187">
      <c r="S187" t="inlineStr">
        <is>
          <t>Pasto</t>
        </is>
      </c>
      <c r="T187" t="inlineStr">
        <is>
          <t>La Palma</t>
        </is>
      </c>
      <c r="V187" t="inlineStr">
        <is>
          <t>Linares</t>
        </is>
      </c>
      <c r="W187" t="inlineStr">
        <is>
          <t>Tambillo Bravos</t>
        </is>
      </c>
      <c r="Y187" t="inlineStr">
        <is>
          <t>Buesaco</t>
        </is>
      </c>
      <c r="Z187" t="inlineStr">
        <is>
          <t>Tasagera</t>
        </is>
      </c>
    </row>
    <row r="188">
      <c r="S188" t="inlineStr">
        <is>
          <t>Pasto</t>
        </is>
      </c>
      <c r="T188" t="inlineStr">
        <is>
          <t>La Panaderia</t>
        </is>
      </c>
      <c r="V188" t="inlineStr">
        <is>
          <t>Magüí</t>
        </is>
      </c>
      <c r="W188" t="inlineStr">
        <is>
          <t>Bella Vista</t>
        </is>
      </c>
      <c r="Y188" t="inlineStr">
        <is>
          <t>Buesaco</t>
        </is>
      </c>
      <c r="Z188" t="inlineStr">
        <is>
          <t>Veracruz</t>
        </is>
      </c>
    </row>
    <row r="189">
      <c r="S189" t="inlineStr">
        <is>
          <t>Pasto</t>
        </is>
      </c>
      <c r="T189" t="inlineStr">
        <is>
          <t>La Paz</t>
        </is>
      </c>
      <c r="V189" t="inlineStr">
        <is>
          <t>Magüí</t>
        </is>
      </c>
      <c r="W189" t="inlineStr">
        <is>
          <t>Brisas de Hamburgo</t>
        </is>
      </c>
      <c r="Y189" t="inlineStr">
        <is>
          <t>Buesaco</t>
        </is>
      </c>
      <c r="Z189" t="inlineStr">
        <is>
          <t>Versalles</t>
        </is>
      </c>
    </row>
    <row r="190">
      <c r="S190" t="inlineStr">
        <is>
          <t>Pasto</t>
        </is>
      </c>
      <c r="T190" t="inlineStr">
        <is>
          <t>La Posada</t>
        </is>
      </c>
      <c r="V190" t="inlineStr">
        <is>
          <t>Magüí</t>
        </is>
      </c>
      <c r="W190" t="inlineStr">
        <is>
          <t>Campo Alegre</t>
        </is>
      </c>
      <c r="Y190" t="inlineStr">
        <is>
          <t>Buesaco</t>
        </is>
      </c>
      <c r="Z190" t="inlineStr">
        <is>
          <t>Villa Moreno</t>
        </is>
      </c>
    </row>
    <row r="191">
      <c r="S191" t="inlineStr">
        <is>
          <t>Pasto</t>
        </is>
      </c>
      <c r="T191" t="inlineStr">
        <is>
          <t>La Riviera</t>
        </is>
      </c>
      <c r="V191" t="inlineStr">
        <is>
          <t>Magüí</t>
        </is>
      </c>
      <c r="W191" t="inlineStr">
        <is>
          <t>Guilpi Piragua</t>
        </is>
      </c>
      <c r="Y191" t="inlineStr">
        <is>
          <t>Chachagüí</t>
        </is>
      </c>
      <c r="Z191" t="inlineStr">
        <is>
          <t>Caño Bajo</t>
        </is>
      </c>
    </row>
    <row r="192">
      <c r="S192" t="inlineStr">
        <is>
          <t>Pasto</t>
        </is>
      </c>
      <c r="T192" t="inlineStr">
        <is>
          <t>La Rosa</t>
        </is>
      </c>
      <c r="V192" t="inlineStr">
        <is>
          <t>Magüí</t>
        </is>
      </c>
      <c r="W192" t="inlineStr">
        <is>
          <t>Nansalbid</t>
        </is>
      </c>
      <c r="Y192" t="inlineStr">
        <is>
          <t>Chachagüí</t>
        </is>
      </c>
      <c r="Z192" t="inlineStr">
        <is>
          <t>Casabuy</t>
        </is>
      </c>
    </row>
    <row r="193">
      <c r="S193" t="inlineStr">
        <is>
          <t>Pasto</t>
        </is>
      </c>
      <c r="T193" t="inlineStr">
        <is>
          <t>La Vega</t>
        </is>
      </c>
      <c r="V193" t="inlineStr">
        <is>
          <t>Magüí</t>
        </is>
      </c>
      <c r="W193" t="inlineStr">
        <is>
          <t>Ricaurte</t>
        </is>
      </c>
      <c r="Y193" t="inlineStr">
        <is>
          <t>Chachagüí</t>
        </is>
      </c>
      <c r="Z193" t="inlineStr">
        <is>
          <t>Chorrillo</t>
        </is>
      </c>
    </row>
    <row r="194">
      <c r="S194" t="inlineStr">
        <is>
          <t>Pasto</t>
        </is>
      </c>
      <c r="T194" t="inlineStr">
        <is>
          <t>Las Acacias</t>
        </is>
      </c>
      <c r="V194" t="inlineStr">
        <is>
          <t>Mallama</t>
        </is>
      </c>
      <c r="W194" t="inlineStr">
        <is>
          <t>Chucunes</t>
        </is>
      </c>
      <c r="Y194" t="inlineStr">
        <is>
          <t>Chachagüí</t>
        </is>
      </c>
      <c r="Z194" t="inlineStr">
        <is>
          <t>Cimarrones</t>
        </is>
      </c>
    </row>
    <row r="195">
      <c r="S195" t="inlineStr">
        <is>
          <t>Pasto</t>
        </is>
      </c>
      <c r="T195" t="inlineStr">
        <is>
          <t>Las Americas</t>
        </is>
      </c>
      <c r="V195" t="inlineStr">
        <is>
          <t>Mallama</t>
        </is>
      </c>
      <c r="W195" t="inlineStr">
        <is>
          <t>El Arco</t>
        </is>
      </c>
      <c r="Y195" t="inlineStr">
        <is>
          <t>Chachagüí</t>
        </is>
      </c>
      <c r="Z195" t="inlineStr">
        <is>
          <t>Cocha Caño</t>
        </is>
      </c>
    </row>
    <row r="196">
      <c r="S196" t="inlineStr">
        <is>
          <t>Pasto</t>
        </is>
      </c>
      <c r="T196" t="inlineStr">
        <is>
          <t>Las Brisas</t>
        </is>
      </c>
      <c r="V196" t="inlineStr">
        <is>
          <t>Mallama</t>
        </is>
      </c>
      <c r="W196" t="inlineStr">
        <is>
          <t>El Arenal</t>
        </is>
      </c>
      <c r="Y196" t="inlineStr">
        <is>
          <t>Chachagüí</t>
        </is>
      </c>
      <c r="Z196" t="inlineStr">
        <is>
          <t>Cundur</t>
        </is>
      </c>
    </row>
    <row r="197">
      <c r="S197" t="inlineStr">
        <is>
          <t>Pasto</t>
        </is>
      </c>
      <c r="T197" t="inlineStr">
        <is>
          <t>Las Camelias</t>
        </is>
      </c>
      <c r="V197" t="inlineStr">
        <is>
          <t>Mallama</t>
        </is>
      </c>
      <c r="W197" t="inlineStr">
        <is>
          <t>El Carmelo</t>
        </is>
      </c>
      <c r="Y197" t="inlineStr">
        <is>
          <t>Chachagüí</t>
        </is>
      </c>
      <c r="Z197" t="inlineStr">
        <is>
          <t>El Comun</t>
        </is>
      </c>
    </row>
    <row r="198">
      <c r="S198" t="inlineStr">
        <is>
          <t>Pasto</t>
        </is>
      </c>
      <c r="T198" t="inlineStr">
        <is>
          <t>Las Cuadras</t>
        </is>
      </c>
      <c r="V198" t="inlineStr">
        <is>
          <t>Mallama</t>
        </is>
      </c>
      <c r="W198" t="inlineStr">
        <is>
          <t>La Oscurana</t>
        </is>
      </c>
      <c r="Y198" t="inlineStr">
        <is>
          <t>Chachagüí</t>
        </is>
      </c>
      <c r="Z198" t="inlineStr">
        <is>
          <t>El Convento</t>
        </is>
      </c>
    </row>
    <row r="199">
      <c r="S199" t="inlineStr">
        <is>
          <t>Pasto</t>
        </is>
      </c>
      <c r="T199" t="inlineStr">
        <is>
          <t>Las Ferias</t>
        </is>
      </c>
      <c r="V199" t="inlineStr">
        <is>
          <t>Mallama</t>
        </is>
      </c>
      <c r="W199" t="inlineStr">
        <is>
          <t>San Miguel</t>
        </is>
      </c>
      <c r="Y199" t="inlineStr">
        <is>
          <t>Chachagüí</t>
        </is>
      </c>
      <c r="Z199" t="inlineStr">
        <is>
          <t>Guairaramba</t>
        </is>
      </c>
    </row>
    <row r="200">
      <c r="S200" t="inlineStr">
        <is>
          <t>Pasto</t>
        </is>
      </c>
      <c r="T200" t="inlineStr">
        <is>
          <t>Las Lunas I</t>
        </is>
      </c>
      <c r="V200" t="inlineStr">
        <is>
          <t>Mosquera</t>
        </is>
      </c>
      <c r="W200" t="inlineStr">
        <is>
          <t>Bocas de Guandipa</t>
        </is>
      </c>
      <c r="Y200" t="inlineStr">
        <is>
          <t>Chachagüí</t>
        </is>
      </c>
      <c r="Z200" t="inlineStr">
        <is>
          <t>Guayabillos</t>
        </is>
      </c>
    </row>
    <row r="201">
      <c r="S201" t="inlineStr">
        <is>
          <t>Pasto</t>
        </is>
      </c>
      <c r="T201" t="inlineStr">
        <is>
          <t>Las Lunas Ii</t>
        </is>
      </c>
      <c r="V201" t="inlineStr">
        <is>
          <t>Mosquera</t>
        </is>
      </c>
      <c r="W201" t="inlineStr">
        <is>
          <t>Cocal de los Payanes</t>
        </is>
      </c>
      <c r="Y201" t="inlineStr">
        <is>
          <t>Chachagüí</t>
        </is>
      </c>
      <c r="Z201" t="inlineStr">
        <is>
          <t>Hato Viejo</t>
        </is>
      </c>
    </row>
    <row r="202">
      <c r="S202" t="inlineStr">
        <is>
          <t>Pasto</t>
        </is>
      </c>
      <c r="T202" t="inlineStr">
        <is>
          <t>Las Margaritas I</t>
        </is>
      </c>
      <c r="V202" t="inlineStr">
        <is>
          <t>Mosquera</t>
        </is>
      </c>
      <c r="W202" t="inlineStr">
        <is>
          <t>Cocalito Jiménez (gabriel Turbay)</t>
        </is>
      </c>
      <c r="Y202" t="inlineStr">
        <is>
          <t>Chachagüí</t>
        </is>
      </c>
      <c r="Z202" t="inlineStr">
        <is>
          <t>Higueron</t>
        </is>
      </c>
    </row>
    <row r="203">
      <c r="S203" t="inlineStr">
        <is>
          <t>Pasto</t>
        </is>
      </c>
      <c r="T203" t="inlineStr">
        <is>
          <t>Las Margaritas Ii</t>
        </is>
      </c>
      <c r="V203" t="inlineStr">
        <is>
          <t>Mosquera</t>
        </is>
      </c>
      <c r="W203" t="inlineStr">
        <is>
          <t>El Bajito de Echandía</t>
        </is>
      </c>
      <c r="Y203" t="inlineStr">
        <is>
          <t>Chachagüí</t>
        </is>
      </c>
      <c r="Z203" t="inlineStr">
        <is>
          <t>La Cruz</t>
        </is>
      </c>
    </row>
    <row r="204">
      <c r="S204" t="inlineStr">
        <is>
          <t>Pasto</t>
        </is>
      </c>
      <c r="T204" t="inlineStr">
        <is>
          <t>Las Margaritas Iii</t>
        </is>
      </c>
      <c r="V204" t="inlineStr">
        <is>
          <t>Mosquera</t>
        </is>
      </c>
      <c r="W204" t="inlineStr">
        <is>
          <t>El Cantil</t>
        </is>
      </c>
      <c r="Y204" t="inlineStr">
        <is>
          <t>Chachagüí</t>
        </is>
      </c>
      <c r="Z204" t="inlineStr">
        <is>
          <t>La Moravia</t>
        </is>
      </c>
    </row>
    <row r="205">
      <c r="S205" t="inlineStr">
        <is>
          <t>Pasto</t>
        </is>
      </c>
      <c r="T205" t="inlineStr">
        <is>
          <t>Las Mercedes</t>
        </is>
      </c>
      <c r="V205" t="inlineStr">
        <is>
          <t>Mosquera</t>
        </is>
      </c>
      <c r="W205" t="inlineStr">
        <is>
          <t>El Garcero</t>
        </is>
      </c>
      <c r="Y205" t="inlineStr">
        <is>
          <t>Chachagüí</t>
        </is>
      </c>
      <c r="Z205" t="inlineStr">
        <is>
          <t>La Tebaida</t>
        </is>
      </c>
    </row>
    <row r="206">
      <c r="S206" t="inlineStr">
        <is>
          <t>Pasto</t>
        </is>
      </c>
      <c r="T206" t="inlineStr">
        <is>
          <t>Las Orquideas</t>
        </is>
      </c>
      <c r="V206" t="inlineStr">
        <is>
          <t>Mosquera</t>
        </is>
      </c>
      <c r="W206" t="inlineStr">
        <is>
          <t>El Naranjo</t>
        </is>
      </c>
      <c r="Y206" t="inlineStr">
        <is>
          <t>Chachagüí</t>
        </is>
      </c>
      <c r="Z206" t="inlineStr">
        <is>
          <t>La Victoria</t>
        </is>
      </c>
    </row>
    <row r="207">
      <c r="S207" t="inlineStr">
        <is>
          <t>Pasto</t>
        </is>
      </c>
      <c r="T207" t="inlineStr">
        <is>
          <t>Las Violetas</t>
        </is>
      </c>
      <c r="V207" t="inlineStr">
        <is>
          <t>Mosquera</t>
        </is>
      </c>
      <c r="W207" t="inlineStr">
        <is>
          <t>El Tortugo</t>
        </is>
      </c>
      <c r="Y207" t="inlineStr">
        <is>
          <t>Chachagüí</t>
        </is>
      </c>
      <c r="Z207" t="inlineStr">
        <is>
          <t>Las Lomitas</t>
        </is>
      </c>
    </row>
    <row r="208">
      <c r="S208" t="inlineStr">
        <is>
          <t>Pasto</t>
        </is>
      </c>
      <c r="T208" t="inlineStr">
        <is>
          <t>Laureano Gomez</t>
        </is>
      </c>
      <c r="V208" t="inlineStr">
        <is>
          <t>Mosquera</t>
        </is>
      </c>
      <c r="W208" t="inlineStr">
        <is>
          <t>Firme Cifuentes</t>
        </is>
      </c>
      <c r="Y208" t="inlineStr">
        <is>
          <t>Chachagüí</t>
        </is>
      </c>
      <c r="Z208" t="inlineStr">
        <is>
          <t>Matarredonda</t>
        </is>
      </c>
    </row>
    <row r="209">
      <c r="S209" t="inlineStr">
        <is>
          <t>Pasto</t>
        </is>
      </c>
      <c r="T209" t="inlineStr">
        <is>
          <t>Liceo Universidad de Nariño</t>
        </is>
      </c>
      <c r="V209" t="inlineStr">
        <is>
          <t>Mosquera</t>
        </is>
      </c>
      <c r="W209" t="inlineStr">
        <is>
          <t>Pampa Chapila</t>
        </is>
      </c>
      <c r="Y209" t="inlineStr">
        <is>
          <t>Chachagüí</t>
        </is>
      </c>
      <c r="Z209" t="inlineStr">
        <is>
          <t>Merlo</t>
        </is>
      </c>
    </row>
    <row r="210">
      <c r="S210" t="inlineStr">
        <is>
          <t>Pasto</t>
        </is>
      </c>
      <c r="T210" t="inlineStr">
        <is>
          <t>Loma de Centenario</t>
        </is>
      </c>
      <c r="V210" t="inlineStr">
        <is>
          <t>Mosquera</t>
        </is>
      </c>
      <c r="W210" t="inlineStr">
        <is>
          <t>Pampa Quiñones</t>
        </is>
      </c>
      <c r="Y210" t="inlineStr">
        <is>
          <t>Chachagüí</t>
        </is>
      </c>
      <c r="Z210" t="inlineStr">
        <is>
          <t>Palmas Alto</t>
        </is>
      </c>
    </row>
    <row r="211">
      <c r="S211" t="inlineStr">
        <is>
          <t>Pasto</t>
        </is>
      </c>
      <c r="T211" t="inlineStr">
        <is>
          <t>Lorenzo de Aldana</t>
        </is>
      </c>
      <c r="V211" t="inlineStr">
        <is>
          <t>Mosquera</t>
        </is>
      </c>
      <c r="W211" t="inlineStr">
        <is>
          <t>Playa Nueva</t>
        </is>
      </c>
      <c r="Y211" t="inlineStr">
        <is>
          <t>Chachagüí</t>
        </is>
      </c>
      <c r="Z211" t="inlineStr">
        <is>
          <t>Palmas Bajo</t>
        </is>
      </c>
    </row>
    <row r="212">
      <c r="S212" t="inlineStr">
        <is>
          <t>Pasto</t>
        </is>
      </c>
      <c r="T212" t="inlineStr">
        <is>
          <t>Los Alamos</t>
        </is>
      </c>
      <c r="V212" t="inlineStr">
        <is>
          <t>Mosquera</t>
        </is>
      </c>
      <c r="W212" t="inlineStr">
        <is>
          <t>Pueblo Nuevo</t>
        </is>
      </c>
      <c r="Y212" t="inlineStr">
        <is>
          <t>Chachagüí</t>
        </is>
      </c>
      <c r="Z212" t="inlineStr">
        <is>
          <t>Pasizara</t>
        </is>
      </c>
    </row>
    <row r="213">
      <c r="S213" t="inlineStr">
        <is>
          <t>Pasto</t>
        </is>
      </c>
      <c r="T213" t="inlineStr">
        <is>
          <t>Los Alcazares</t>
        </is>
      </c>
      <c r="V213" t="inlineStr">
        <is>
          <t>Olaya Herrera</t>
        </is>
      </c>
      <c r="W213" t="inlineStr">
        <is>
          <t>Alto Zapanque</t>
        </is>
      </c>
      <c r="Y213" t="inlineStr">
        <is>
          <t>Chachagüí</t>
        </is>
      </c>
      <c r="Z213" t="inlineStr">
        <is>
          <t>Pedregal</t>
        </is>
      </c>
    </row>
    <row r="214">
      <c r="S214" t="inlineStr">
        <is>
          <t>Pasto</t>
        </is>
      </c>
      <c r="T214" t="inlineStr">
        <is>
          <t>Los Andes</t>
        </is>
      </c>
      <c r="V214" t="inlineStr">
        <is>
          <t>Olaya Herrera</t>
        </is>
      </c>
      <c r="W214" t="inlineStr">
        <is>
          <t>Bajo Zapanque</t>
        </is>
      </c>
      <c r="Y214" t="inlineStr">
        <is>
          <t>Chachagüí</t>
        </is>
      </c>
      <c r="Z214" t="inlineStr">
        <is>
          <t>Portachuelo</t>
        </is>
      </c>
    </row>
    <row r="215">
      <c r="S215" t="inlineStr">
        <is>
          <t>Pasto</t>
        </is>
      </c>
      <c r="T215" t="inlineStr">
        <is>
          <t>Los Angeles</t>
        </is>
      </c>
      <c r="V215" t="inlineStr">
        <is>
          <t>Olaya Herrera</t>
        </is>
      </c>
      <c r="W215" t="inlineStr">
        <is>
          <t>Boca de Vibora</t>
        </is>
      </c>
      <c r="Y215" t="inlineStr">
        <is>
          <t>Chachagüí</t>
        </is>
      </c>
      <c r="Z215" t="inlineStr">
        <is>
          <t>Pradera</t>
        </is>
      </c>
    </row>
    <row r="216">
      <c r="S216" t="inlineStr">
        <is>
          <t>Pasto</t>
        </is>
      </c>
      <c r="T216" t="inlineStr">
        <is>
          <t>Los Balcones</t>
        </is>
      </c>
      <c r="V216" t="inlineStr">
        <is>
          <t>Olaya Herrera</t>
        </is>
      </c>
      <c r="W216" t="inlineStr">
        <is>
          <t>Carolina</t>
        </is>
      </c>
      <c r="Y216" t="inlineStr">
        <is>
          <t>Chachagüí</t>
        </is>
      </c>
      <c r="Z216" t="inlineStr">
        <is>
          <t>Robles</t>
        </is>
      </c>
    </row>
    <row r="217">
      <c r="S217" t="inlineStr">
        <is>
          <t>Pasto</t>
        </is>
      </c>
      <c r="T217" t="inlineStr">
        <is>
          <t>Los Cristales</t>
        </is>
      </c>
      <c r="V217" t="inlineStr">
        <is>
          <t>Olaya Herrera</t>
        </is>
      </c>
      <c r="W217" t="inlineStr">
        <is>
          <t>Chapil</t>
        </is>
      </c>
      <c r="Y217" t="inlineStr">
        <is>
          <t>Chachagüí</t>
        </is>
      </c>
      <c r="Z217" t="inlineStr">
        <is>
          <t>Saladito</t>
        </is>
      </c>
    </row>
    <row r="218">
      <c r="S218" t="inlineStr">
        <is>
          <t>Pasto</t>
        </is>
      </c>
      <c r="T218" t="inlineStr">
        <is>
          <t>Los Dos Puentes</t>
        </is>
      </c>
      <c r="V218" t="inlineStr">
        <is>
          <t>Olaya Herrera</t>
        </is>
      </c>
      <c r="W218" t="inlineStr">
        <is>
          <t>El Carmen</t>
        </is>
      </c>
      <c r="Y218" t="inlineStr">
        <is>
          <t>Chachagüí</t>
        </is>
      </c>
      <c r="Z218" t="inlineStr">
        <is>
          <t>Sanchez</t>
        </is>
      </c>
    </row>
    <row r="219">
      <c r="S219" t="inlineStr">
        <is>
          <t>Pasto</t>
        </is>
      </c>
      <c r="T219" t="inlineStr">
        <is>
          <t>Los Guaduales</t>
        </is>
      </c>
      <c r="V219" t="inlineStr">
        <is>
          <t>Olaya Herrera</t>
        </is>
      </c>
      <c r="W219" t="inlineStr">
        <is>
          <t>El Nato</t>
        </is>
      </c>
      <c r="Y219" t="inlineStr">
        <is>
          <t>Chachagüí</t>
        </is>
      </c>
      <c r="Z219" t="inlineStr">
        <is>
          <t>Santa Monica</t>
        </is>
      </c>
    </row>
    <row r="220">
      <c r="S220" t="inlineStr">
        <is>
          <t>Pasto</t>
        </is>
      </c>
      <c r="T220" t="inlineStr">
        <is>
          <t>Los Heroes</t>
        </is>
      </c>
      <c r="V220" t="inlineStr">
        <is>
          <t>Olaya Herrera</t>
        </is>
      </c>
      <c r="W220" t="inlineStr">
        <is>
          <t>La Tolita</t>
        </is>
      </c>
      <c r="Y220" t="inlineStr">
        <is>
          <t>Colón</t>
        </is>
      </c>
      <c r="Z220" t="inlineStr">
        <is>
          <t>Alto Villanueva</t>
        </is>
      </c>
    </row>
    <row r="221">
      <c r="S221" t="inlineStr">
        <is>
          <t>Pasto</t>
        </is>
      </c>
      <c r="T221" t="inlineStr">
        <is>
          <t>Los Jazmines</t>
        </is>
      </c>
      <c r="V221" t="inlineStr">
        <is>
          <t>Olaya Herrera</t>
        </is>
      </c>
      <c r="W221" t="inlineStr">
        <is>
          <t>Las Palmas</t>
        </is>
      </c>
      <c r="Y221" t="inlineStr">
        <is>
          <t>Colón</t>
        </is>
      </c>
      <c r="Z221" t="inlineStr">
        <is>
          <t>Bellavista</t>
        </is>
      </c>
    </row>
    <row r="222">
      <c r="S222" t="inlineStr">
        <is>
          <t>Pasto</t>
        </is>
      </c>
      <c r="T222" t="inlineStr">
        <is>
          <t>Los Laureles</t>
        </is>
      </c>
      <c r="V222" t="inlineStr">
        <is>
          <t>Olaya Herrera</t>
        </is>
      </c>
      <c r="W222" t="inlineStr">
        <is>
          <t>Samaritano</t>
        </is>
      </c>
      <c r="Y222" t="inlineStr">
        <is>
          <t>Colón</t>
        </is>
      </c>
      <c r="Z222" t="inlineStr">
        <is>
          <t>Bordo Alto</t>
        </is>
      </c>
    </row>
    <row r="223">
      <c r="S223" t="inlineStr">
        <is>
          <t>Pasto</t>
        </is>
      </c>
      <c r="T223" t="inlineStr">
        <is>
          <t>Los Olivos</t>
        </is>
      </c>
      <c r="V223" t="inlineStr">
        <is>
          <t>Olaya Herrera</t>
        </is>
      </c>
      <c r="W223" t="inlineStr">
        <is>
          <t>San José Calabazal</t>
        </is>
      </c>
      <c r="Y223" t="inlineStr">
        <is>
          <t>Colón</t>
        </is>
      </c>
      <c r="Z223" t="inlineStr">
        <is>
          <t>Bordo Bajo</t>
        </is>
      </c>
    </row>
    <row r="224">
      <c r="S224" t="inlineStr">
        <is>
          <t>Pasto</t>
        </is>
      </c>
      <c r="T224" t="inlineStr">
        <is>
          <t>Los Pinos</t>
        </is>
      </c>
      <c r="V224" t="inlineStr">
        <is>
          <t>Olaya Herrera</t>
        </is>
      </c>
      <c r="W224" t="inlineStr">
        <is>
          <t>San Jose Roble</t>
        </is>
      </c>
      <c r="Y224" t="inlineStr">
        <is>
          <t>Colón</t>
        </is>
      </c>
      <c r="Z224" t="inlineStr">
        <is>
          <t>Buesaco</t>
        </is>
      </c>
    </row>
    <row r="225">
      <c r="S225" t="inlineStr">
        <is>
          <t>Pasto</t>
        </is>
      </c>
      <c r="T225" t="inlineStr">
        <is>
          <t>Los Robles</t>
        </is>
      </c>
      <c r="V225" t="inlineStr">
        <is>
          <t>Olaya Herrera</t>
        </is>
      </c>
      <c r="W225" t="inlineStr">
        <is>
          <t>Santamaria</t>
        </is>
      </c>
      <c r="Y225" t="inlineStr">
        <is>
          <t>Colón</t>
        </is>
      </c>
      <c r="Z225" t="inlineStr">
        <is>
          <t>Cimarrones</t>
        </is>
      </c>
    </row>
    <row r="226">
      <c r="S226" t="inlineStr">
        <is>
          <t>Pasto</t>
        </is>
      </c>
      <c r="T226" t="inlineStr">
        <is>
          <t>Los Rosales I</t>
        </is>
      </c>
      <c r="V226" t="inlineStr">
        <is>
          <t>Olaya Herrera</t>
        </is>
      </c>
      <c r="W226" t="inlineStr">
        <is>
          <t>Tortola 2</t>
        </is>
      </c>
      <c r="Y226" t="inlineStr">
        <is>
          <t>Colón</t>
        </is>
      </c>
      <c r="Z226" t="inlineStr">
        <is>
          <t>Cujacal</t>
        </is>
      </c>
    </row>
    <row r="227">
      <c r="S227" t="inlineStr">
        <is>
          <t>Pasto</t>
        </is>
      </c>
      <c r="T227" t="inlineStr">
        <is>
          <t>Los Rosales Ii</t>
        </is>
      </c>
      <c r="V227" t="inlineStr">
        <is>
          <t>Olaya Herrera</t>
        </is>
      </c>
      <c r="W227" t="inlineStr">
        <is>
          <t>Zapotal</t>
        </is>
      </c>
      <c r="Y227" t="inlineStr">
        <is>
          <t>Colón</t>
        </is>
      </c>
      <c r="Z227" t="inlineStr">
        <is>
          <t>David Alto</t>
        </is>
      </c>
    </row>
    <row r="228">
      <c r="S228" t="inlineStr">
        <is>
          <t>Pasto</t>
        </is>
      </c>
      <c r="T228" t="inlineStr">
        <is>
          <t>Los Sauces</t>
        </is>
      </c>
      <c r="V228" t="inlineStr">
        <is>
          <t>Ospina</t>
        </is>
      </c>
      <c r="W228" t="inlineStr">
        <is>
          <t>Cunchila O Moreno</t>
        </is>
      </c>
      <c r="Y228" t="inlineStr">
        <is>
          <t>Colón</t>
        </is>
      </c>
      <c r="Z228" t="inlineStr">
        <is>
          <t>David Bajo</t>
        </is>
      </c>
    </row>
    <row r="229">
      <c r="S229" t="inlineStr">
        <is>
          <t>Pasto</t>
        </is>
      </c>
      <c r="T229" t="inlineStr">
        <is>
          <t>Luis Carlos Galan</t>
        </is>
      </c>
      <c r="V229" t="inlineStr">
        <is>
          <t>Ospina</t>
        </is>
      </c>
      <c r="W229" t="inlineStr">
        <is>
          <t>San Isidro</t>
        </is>
      </c>
      <c r="Y229" t="inlineStr">
        <is>
          <t>Colón</t>
        </is>
      </c>
      <c r="Z229" t="inlineStr">
        <is>
          <t>El Guabo</t>
        </is>
      </c>
    </row>
    <row r="230">
      <c r="S230" t="inlineStr">
        <is>
          <t>Pasto</t>
        </is>
      </c>
      <c r="T230" t="inlineStr">
        <is>
          <t>Madrigal</t>
        </is>
      </c>
      <c r="V230" t="inlineStr">
        <is>
          <t>Pasto</t>
        </is>
      </c>
      <c r="W230" t="inlineStr">
        <is>
          <t>Anganoy</t>
        </is>
      </c>
      <c r="Y230" t="inlineStr">
        <is>
          <t>Colón</t>
        </is>
      </c>
      <c r="Z230" t="inlineStr">
        <is>
          <t>El Llano</t>
        </is>
      </c>
    </row>
    <row r="231">
      <c r="S231" t="inlineStr">
        <is>
          <t>Pasto</t>
        </is>
      </c>
      <c r="T231" t="inlineStr">
        <is>
          <t>Manaca</t>
        </is>
      </c>
      <c r="V231" t="inlineStr">
        <is>
          <t>Pasto</t>
        </is>
      </c>
      <c r="W231" t="inlineStr">
        <is>
          <t>Botanilla</t>
        </is>
      </c>
      <c r="Y231" t="inlineStr">
        <is>
          <t>Colón</t>
        </is>
      </c>
      <c r="Z231" t="inlineStr">
        <is>
          <t>El Macal</t>
        </is>
      </c>
    </row>
    <row r="232">
      <c r="S232" t="inlineStr">
        <is>
          <t>Pasto</t>
        </is>
      </c>
      <c r="T232" t="inlineStr">
        <is>
          <t>Manantial</t>
        </is>
      </c>
      <c r="V232" t="inlineStr">
        <is>
          <t>Pasto</t>
        </is>
      </c>
      <c r="W232" t="inlineStr">
        <is>
          <t>Buesaquillo</t>
        </is>
      </c>
      <c r="Y232" t="inlineStr">
        <is>
          <t>Colón</t>
        </is>
      </c>
      <c r="Z232" t="inlineStr">
        <is>
          <t>El Paraíso</t>
        </is>
      </c>
    </row>
    <row r="233">
      <c r="S233" t="inlineStr">
        <is>
          <t>Pasto</t>
        </is>
      </c>
      <c r="T233" t="inlineStr">
        <is>
          <t>Maria Isabel I</t>
        </is>
      </c>
      <c r="V233" t="inlineStr">
        <is>
          <t>Pasto</t>
        </is>
      </c>
      <c r="W233" t="inlineStr">
        <is>
          <t>Cabrera</t>
        </is>
      </c>
      <c r="Y233" t="inlineStr">
        <is>
          <t>Colón</t>
        </is>
      </c>
      <c r="Z233" t="inlineStr">
        <is>
          <t>El Placer</t>
        </is>
      </c>
    </row>
    <row r="234">
      <c r="S234" t="inlineStr">
        <is>
          <t>Pasto</t>
        </is>
      </c>
      <c r="T234" t="inlineStr">
        <is>
          <t>Maria Isabel Ii</t>
        </is>
      </c>
      <c r="V234" t="inlineStr">
        <is>
          <t>Pasto</t>
        </is>
      </c>
      <c r="W234" t="inlineStr">
        <is>
          <t>Canchala</t>
        </is>
      </c>
      <c r="Y234" t="inlineStr">
        <is>
          <t>Colón</t>
        </is>
      </c>
      <c r="Z234" t="inlineStr">
        <is>
          <t>El Rincón</t>
        </is>
      </c>
    </row>
    <row r="235">
      <c r="S235" t="inlineStr">
        <is>
          <t>Pasto</t>
        </is>
      </c>
      <c r="T235" t="inlineStr">
        <is>
          <t>Maria Isabel Iii</t>
        </is>
      </c>
      <c r="V235" t="inlineStr">
        <is>
          <t>Pasto</t>
        </is>
      </c>
      <c r="W235" t="inlineStr">
        <is>
          <t>Catambuco</t>
        </is>
      </c>
      <c r="Y235" t="inlineStr">
        <is>
          <t>Colón</t>
        </is>
      </c>
      <c r="Z235" t="inlineStr">
        <is>
          <t>Génova</t>
        </is>
      </c>
    </row>
    <row r="236">
      <c r="S236" t="inlineStr">
        <is>
          <t>Pasto</t>
        </is>
      </c>
      <c r="T236" t="inlineStr">
        <is>
          <t>Maria Paz</t>
        </is>
      </c>
      <c r="V236" t="inlineStr">
        <is>
          <t>Pasto</t>
        </is>
      </c>
      <c r="W236" t="inlineStr">
        <is>
          <t>Cerotal</t>
        </is>
      </c>
      <c r="Y236" t="inlineStr">
        <is>
          <t>Colón</t>
        </is>
      </c>
      <c r="Z236" t="inlineStr">
        <is>
          <t>Guaitarilla</t>
        </is>
      </c>
    </row>
    <row r="237">
      <c r="S237" t="inlineStr">
        <is>
          <t>Pasto</t>
        </is>
      </c>
      <c r="T237" t="inlineStr">
        <is>
          <t>Maridiaz</t>
        </is>
      </c>
      <c r="V237" t="inlineStr">
        <is>
          <t>Pasto</t>
        </is>
      </c>
      <c r="W237" t="inlineStr">
        <is>
          <t>Charguayaco</t>
        </is>
      </c>
      <c r="Y237" t="inlineStr">
        <is>
          <t>Colón</t>
        </is>
      </c>
      <c r="Z237" t="inlineStr">
        <is>
          <t>Helechal</t>
        </is>
      </c>
    </row>
    <row r="238">
      <c r="S238" t="inlineStr">
        <is>
          <t>Pasto</t>
        </is>
      </c>
      <c r="T238" t="inlineStr">
        <is>
          <t>Mariluz I</t>
        </is>
      </c>
      <c r="V238" t="inlineStr">
        <is>
          <t>Pasto</t>
        </is>
      </c>
      <c r="W238" t="inlineStr">
        <is>
          <t>Cruz de Amarillo</t>
        </is>
      </c>
      <c r="Y238" t="inlineStr">
        <is>
          <t>Colón</t>
        </is>
      </c>
      <c r="Z238" t="inlineStr">
        <is>
          <t>La Cuesta</t>
        </is>
      </c>
    </row>
    <row r="239">
      <c r="S239" t="inlineStr">
        <is>
          <t>Pasto</t>
        </is>
      </c>
      <c r="T239" t="inlineStr">
        <is>
          <t>Mariluz Ii</t>
        </is>
      </c>
      <c r="V239" t="inlineStr">
        <is>
          <t>Pasto</t>
        </is>
      </c>
      <c r="W239" t="inlineStr">
        <is>
          <t>Cubijan Bajo</t>
        </is>
      </c>
      <c r="Y239" t="inlineStr">
        <is>
          <t>Colón</t>
        </is>
      </c>
      <c r="Z239" t="inlineStr">
        <is>
          <t>La Florida</t>
        </is>
      </c>
    </row>
    <row r="240">
      <c r="S240" t="inlineStr">
        <is>
          <t>Pasto</t>
        </is>
      </c>
      <c r="T240" t="inlineStr">
        <is>
          <t>Mariluz Iii</t>
        </is>
      </c>
      <c r="V240" t="inlineStr">
        <is>
          <t>Pasto</t>
        </is>
      </c>
      <c r="W240" t="inlineStr">
        <is>
          <t>Cujacal</t>
        </is>
      </c>
      <c r="Y240" t="inlineStr">
        <is>
          <t>Colón</t>
        </is>
      </c>
      <c r="Z240" t="inlineStr">
        <is>
          <t>La Laguna</t>
        </is>
      </c>
    </row>
    <row r="241">
      <c r="S241" t="inlineStr">
        <is>
          <t>Pasto</t>
        </is>
      </c>
      <c r="T241" t="inlineStr">
        <is>
          <t>Marquetalia</t>
        </is>
      </c>
      <c r="V241" t="inlineStr">
        <is>
          <t>Pasto</t>
        </is>
      </c>
      <c r="W241" t="inlineStr">
        <is>
          <t>Daza</t>
        </is>
      </c>
      <c r="Y241" t="inlineStr">
        <is>
          <t>Colón</t>
        </is>
      </c>
      <c r="Z241" t="inlineStr">
        <is>
          <t>La Plata</t>
        </is>
      </c>
    </row>
    <row r="242">
      <c r="S242" t="inlineStr">
        <is>
          <t>Pasto</t>
        </is>
      </c>
      <c r="T242" t="inlineStr">
        <is>
          <t>Mercedario</t>
        </is>
      </c>
      <c r="V242" t="inlineStr">
        <is>
          <t>Pasto</t>
        </is>
      </c>
      <c r="W242" t="inlineStr">
        <is>
          <t>Dolores</t>
        </is>
      </c>
      <c r="Y242" t="inlineStr">
        <is>
          <t>Colón</t>
        </is>
      </c>
      <c r="Z242" t="inlineStr">
        <is>
          <t>La Primavera</t>
        </is>
      </c>
    </row>
    <row r="243">
      <c r="S243" t="inlineStr">
        <is>
          <t>Pasto</t>
        </is>
      </c>
      <c r="T243" t="inlineStr">
        <is>
          <t>Mijitayo</t>
        </is>
      </c>
      <c r="V243" t="inlineStr">
        <is>
          <t>Pasto</t>
        </is>
      </c>
      <c r="W243" t="inlineStr">
        <is>
          <t>El Campanero</t>
        </is>
      </c>
      <c r="Y243" t="inlineStr">
        <is>
          <t>Colón</t>
        </is>
      </c>
      <c r="Z243" t="inlineStr">
        <is>
          <t>La Victoria</t>
        </is>
      </c>
    </row>
    <row r="244">
      <c r="S244" t="inlineStr">
        <is>
          <t>Pasto</t>
        </is>
      </c>
      <c r="T244" t="inlineStr">
        <is>
          <t>Mijitayo Alto</t>
        </is>
      </c>
      <c r="V244" t="inlineStr">
        <is>
          <t>Pasto</t>
        </is>
      </c>
      <c r="W244" t="inlineStr">
        <is>
          <t>El Encano</t>
        </is>
      </c>
      <c r="Y244" t="inlineStr">
        <is>
          <t>Colón</t>
        </is>
      </c>
      <c r="Z244" t="inlineStr">
        <is>
          <t>Las Lajas</t>
        </is>
      </c>
    </row>
    <row r="245">
      <c r="S245" t="inlineStr">
        <is>
          <t>Pasto</t>
        </is>
      </c>
      <c r="T245" t="inlineStr">
        <is>
          <t>Mirador</t>
        </is>
      </c>
      <c r="V245" t="inlineStr">
        <is>
          <t>Pasto</t>
        </is>
      </c>
      <c r="W245" t="inlineStr">
        <is>
          <t>El Puerto</t>
        </is>
      </c>
      <c r="Y245" t="inlineStr">
        <is>
          <t>Colón</t>
        </is>
      </c>
      <c r="Z245" t="inlineStr">
        <is>
          <t>Loma de Ganado</t>
        </is>
      </c>
    </row>
    <row r="246">
      <c r="S246" t="inlineStr">
        <is>
          <t>Pasto</t>
        </is>
      </c>
      <c r="T246" t="inlineStr">
        <is>
          <t>Mirador de Aquine</t>
        </is>
      </c>
      <c r="V246" t="inlineStr">
        <is>
          <t>Pasto</t>
        </is>
      </c>
      <c r="W246" t="inlineStr">
        <is>
          <t>El Rosario</t>
        </is>
      </c>
      <c r="Y246" t="inlineStr">
        <is>
          <t>Colón</t>
        </is>
      </c>
      <c r="Z246" t="inlineStr">
        <is>
          <t>Loma de Ortiz</t>
        </is>
      </c>
    </row>
    <row r="247">
      <c r="S247" t="inlineStr">
        <is>
          <t>Pasto</t>
        </is>
      </c>
      <c r="T247" t="inlineStr">
        <is>
          <t>Mirador de San Juan</t>
        </is>
      </c>
      <c r="V247" t="inlineStr">
        <is>
          <t>Pasto</t>
        </is>
      </c>
      <c r="W247" t="inlineStr">
        <is>
          <t>El Socorro Cimarrón</t>
        </is>
      </c>
      <c r="Y247" t="inlineStr">
        <is>
          <t>Colón</t>
        </is>
      </c>
      <c r="Z247" t="inlineStr">
        <is>
          <t>Los Molinos</t>
        </is>
      </c>
    </row>
    <row r="248">
      <c r="S248" t="inlineStr">
        <is>
          <t>Pasto</t>
        </is>
      </c>
      <c r="T248" t="inlineStr">
        <is>
          <t>Miraflores I</t>
        </is>
      </c>
      <c r="V248" t="inlineStr">
        <is>
          <t>Pasto</t>
        </is>
      </c>
      <c r="W248" t="inlineStr">
        <is>
          <t>Genoy</t>
        </is>
      </c>
      <c r="Y248" t="inlineStr">
        <is>
          <t>Colón</t>
        </is>
      </c>
      <c r="Z248" t="inlineStr">
        <is>
          <t>Palacio Alto</t>
        </is>
      </c>
    </row>
    <row r="249">
      <c r="S249" t="inlineStr">
        <is>
          <t>Pasto</t>
        </is>
      </c>
      <c r="T249" t="inlineStr">
        <is>
          <t>Miraflores Ii</t>
        </is>
      </c>
      <c r="V249" t="inlineStr">
        <is>
          <t>Pasto</t>
        </is>
      </c>
      <c r="W249" t="inlineStr">
        <is>
          <t>Gualmatán</t>
        </is>
      </c>
      <c r="Y249" t="inlineStr">
        <is>
          <t>Colón</t>
        </is>
      </c>
      <c r="Z249" t="inlineStr">
        <is>
          <t>Palacio Bajo</t>
        </is>
      </c>
    </row>
    <row r="250">
      <c r="S250" t="inlineStr">
        <is>
          <t>Pasto</t>
        </is>
      </c>
      <c r="T250" t="inlineStr">
        <is>
          <t>Miravalle</t>
        </is>
      </c>
      <c r="V250" t="inlineStr">
        <is>
          <t>Pasto</t>
        </is>
      </c>
      <c r="W250" t="inlineStr">
        <is>
          <t>Gualmatan Alto</t>
        </is>
      </c>
      <c r="Y250" t="inlineStr">
        <is>
          <t>Colón</t>
        </is>
      </c>
      <c r="Z250" t="inlineStr">
        <is>
          <t>Palacio Centro</t>
        </is>
      </c>
    </row>
    <row r="251">
      <c r="S251" t="inlineStr">
        <is>
          <t>Pasto</t>
        </is>
      </c>
      <c r="T251" t="inlineStr">
        <is>
          <t>Monserrate</t>
        </is>
      </c>
      <c r="V251" t="inlineStr">
        <is>
          <t>Pasto</t>
        </is>
      </c>
      <c r="W251" t="inlineStr">
        <is>
          <t>Jamondino</t>
        </is>
      </c>
      <c r="Y251" t="inlineStr">
        <is>
          <t>Colón</t>
        </is>
      </c>
      <c r="Z251" t="inlineStr">
        <is>
          <t>San Carlos</t>
        </is>
      </c>
    </row>
    <row r="252">
      <c r="S252" t="inlineStr">
        <is>
          <t>Pasto</t>
        </is>
      </c>
      <c r="T252" t="inlineStr">
        <is>
          <t>Morasurco</t>
        </is>
      </c>
      <c r="V252" t="inlineStr">
        <is>
          <t>Pasto</t>
        </is>
      </c>
      <c r="W252" t="inlineStr">
        <is>
          <t>Jongovito</t>
        </is>
      </c>
      <c r="Y252" t="inlineStr">
        <is>
          <t>Colón</t>
        </is>
      </c>
      <c r="Z252" t="inlineStr">
        <is>
          <t>Sanchez</t>
        </is>
      </c>
    </row>
    <row r="253">
      <c r="S253" t="inlineStr">
        <is>
          <t>Pasto</t>
        </is>
      </c>
      <c r="T253" t="inlineStr">
        <is>
          <t>Navarrete</t>
        </is>
      </c>
      <c r="V253" t="inlineStr">
        <is>
          <t>Pasto</t>
        </is>
      </c>
      <c r="W253" t="inlineStr">
        <is>
          <t>Jurado</t>
        </is>
      </c>
      <c r="Y253" t="inlineStr">
        <is>
          <t>Colón</t>
        </is>
      </c>
      <c r="Z253" t="inlineStr">
        <is>
          <t>Villanueva</t>
        </is>
      </c>
    </row>
    <row r="254">
      <c r="S254" t="inlineStr">
        <is>
          <t>Pasto</t>
        </is>
      </c>
      <c r="T254" t="inlineStr">
        <is>
          <t>Niño Jesus de Praga</t>
        </is>
      </c>
      <c r="V254" t="inlineStr">
        <is>
          <t>Pasto</t>
        </is>
      </c>
      <c r="W254" t="inlineStr">
        <is>
          <t>La Caldera</t>
        </is>
      </c>
      <c r="Y254" t="inlineStr">
        <is>
          <t>Consacá</t>
        </is>
      </c>
      <c r="Z254" t="inlineStr">
        <is>
          <t>Alto de Bomboná</t>
        </is>
      </c>
    </row>
    <row r="255">
      <c r="S255" t="inlineStr">
        <is>
          <t>Pasto</t>
        </is>
      </c>
      <c r="T255" t="inlineStr">
        <is>
          <t>Niza I</t>
        </is>
      </c>
      <c r="V255" t="inlineStr">
        <is>
          <t>Pasto</t>
        </is>
      </c>
      <c r="W255" t="inlineStr">
        <is>
          <t>La Laguna</t>
        </is>
      </c>
      <c r="Y255" t="inlineStr">
        <is>
          <t>Consacá</t>
        </is>
      </c>
      <c r="Z255" t="inlineStr">
        <is>
          <t>Brisas de Guaitara</t>
        </is>
      </c>
    </row>
    <row r="256">
      <c r="S256" t="inlineStr">
        <is>
          <t>Pasto</t>
        </is>
      </c>
      <c r="T256" t="inlineStr">
        <is>
          <t>Niza Ii</t>
        </is>
      </c>
      <c r="V256" t="inlineStr">
        <is>
          <t>Pasto</t>
        </is>
      </c>
      <c r="W256" t="inlineStr">
        <is>
          <t>La Merced</t>
        </is>
      </c>
      <c r="Y256" t="inlineStr">
        <is>
          <t>Consacá</t>
        </is>
      </c>
      <c r="Z256" t="inlineStr">
        <is>
          <t>Cajabamba</t>
        </is>
      </c>
    </row>
    <row r="257">
      <c r="S257" t="inlineStr">
        <is>
          <t>Pasto</t>
        </is>
      </c>
      <c r="T257" t="inlineStr">
        <is>
          <t>Niza Iii</t>
        </is>
      </c>
      <c r="V257" t="inlineStr">
        <is>
          <t>Pasto</t>
        </is>
      </c>
      <c r="W257" t="inlineStr">
        <is>
          <t>La Victoria</t>
        </is>
      </c>
      <c r="Y257" t="inlineStr">
        <is>
          <t>Consacá</t>
        </is>
      </c>
      <c r="Z257" t="inlineStr">
        <is>
          <t>Campamento</t>
        </is>
      </c>
    </row>
    <row r="258">
      <c r="S258" t="inlineStr">
        <is>
          <t>Pasto</t>
        </is>
      </c>
      <c r="T258" t="inlineStr">
        <is>
          <t>Normandia</t>
        </is>
      </c>
      <c r="V258" t="inlineStr">
        <is>
          <t>Pasto</t>
        </is>
      </c>
      <c r="W258" t="inlineStr">
        <is>
          <t>Las Encinas</t>
        </is>
      </c>
      <c r="Y258" t="inlineStr">
        <is>
          <t>Consacá</t>
        </is>
      </c>
      <c r="Z258" t="inlineStr">
        <is>
          <t>Caracol</t>
        </is>
      </c>
    </row>
    <row r="259">
      <c r="S259" t="inlineStr">
        <is>
          <t>Pasto</t>
        </is>
      </c>
      <c r="T259" t="inlineStr">
        <is>
          <t>Nueva Aranda</t>
        </is>
      </c>
      <c r="V259" t="inlineStr">
        <is>
          <t>Pasto</t>
        </is>
      </c>
      <c r="W259" t="inlineStr">
        <is>
          <t>Los Angeles</t>
        </is>
      </c>
      <c r="Y259" t="inlineStr">
        <is>
          <t>Consacá</t>
        </is>
      </c>
      <c r="Z259" t="inlineStr">
        <is>
          <t>Cariaco Alto</t>
        </is>
      </c>
    </row>
    <row r="260">
      <c r="S260" t="inlineStr">
        <is>
          <t>Pasto</t>
        </is>
      </c>
      <c r="T260" t="inlineStr">
        <is>
          <t>Nueva Colombia</t>
        </is>
      </c>
      <c r="V260" t="inlineStr">
        <is>
          <t>Pasto</t>
        </is>
      </c>
      <c r="W260" t="inlineStr">
        <is>
          <t>Mapachico - Aticance</t>
        </is>
      </c>
      <c r="Y260" t="inlineStr">
        <is>
          <t>Consacá</t>
        </is>
      </c>
      <c r="Z260" t="inlineStr">
        <is>
          <t>Cariaco Bajo</t>
        </is>
      </c>
    </row>
    <row r="261">
      <c r="S261" t="inlineStr">
        <is>
          <t>Pasto</t>
        </is>
      </c>
      <c r="T261" t="inlineStr">
        <is>
          <t>Nueva Solidaridad-teruel</t>
        </is>
      </c>
      <c r="V261" t="inlineStr">
        <is>
          <t>Pasto</t>
        </is>
      </c>
      <c r="W261" t="inlineStr">
        <is>
          <t>Mapachico Alto</t>
        </is>
      </c>
      <c r="Y261" t="inlineStr">
        <is>
          <t>Consacá</t>
        </is>
      </c>
      <c r="Z261" t="inlineStr">
        <is>
          <t>Churupamba</t>
        </is>
      </c>
    </row>
    <row r="262">
      <c r="S262" t="inlineStr">
        <is>
          <t>Pasto</t>
        </is>
      </c>
      <c r="T262" t="inlineStr">
        <is>
          <t>Nuevo Amanecer</t>
        </is>
      </c>
      <c r="V262" t="inlineStr">
        <is>
          <t>Pasto</t>
        </is>
      </c>
      <c r="W262" t="inlineStr">
        <is>
          <t>Mapachico San José</t>
        </is>
      </c>
      <c r="Y262" t="inlineStr">
        <is>
          <t>Consacá</t>
        </is>
      </c>
      <c r="Z262" t="inlineStr">
        <is>
          <t>Ciudadela de Bombona</t>
        </is>
      </c>
    </row>
    <row r="263">
      <c r="S263" t="inlineStr">
        <is>
          <t>Pasto</t>
        </is>
      </c>
      <c r="T263" t="inlineStr">
        <is>
          <t>Nuevo Horizonte</t>
        </is>
      </c>
      <c r="V263" t="inlineStr">
        <is>
          <t>Pasto</t>
        </is>
      </c>
      <c r="W263" t="inlineStr">
        <is>
          <t>Mocondino</t>
        </is>
      </c>
      <c r="Y263" t="inlineStr">
        <is>
          <t>Consacá</t>
        </is>
      </c>
      <c r="Z263" t="inlineStr">
        <is>
          <t>Consacá</t>
        </is>
      </c>
    </row>
    <row r="264">
      <c r="S264" t="inlineStr">
        <is>
          <t>Pasto</t>
        </is>
      </c>
      <c r="T264" t="inlineStr">
        <is>
          <t>Nuevo Sol</t>
        </is>
      </c>
      <c r="V264" t="inlineStr">
        <is>
          <t>Pasto</t>
        </is>
      </c>
      <c r="W264" t="inlineStr">
        <is>
          <t>Mojonvanoy</t>
        </is>
      </c>
      <c r="Y264" t="inlineStr">
        <is>
          <t>Consacá</t>
        </is>
      </c>
      <c r="Z264" t="inlineStr">
        <is>
          <t>El Cucho</t>
        </is>
      </c>
    </row>
    <row r="265">
      <c r="S265" t="inlineStr">
        <is>
          <t>Pasto</t>
        </is>
      </c>
      <c r="T265" t="inlineStr">
        <is>
          <t>Obrero</t>
        </is>
      </c>
      <c r="V265" t="inlineStr">
        <is>
          <t>Pasto</t>
        </is>
      </c>
      <c r="W265" t="inlineStr">
        <is>
          <t>Motilón</t>
        </is>
      </c>
      <c r="Y265" t="inlineStr">
        <is>
          <t>Consacá</t>
        </is>
      </c>
      <c r="Z265" t="inlineStr">
        <is>
          <t>El Edén</t>
        </is>
      </c>
    </row>
    <row r="266">
      <c r="S266" t="inlineStr">
        <is>
          <t>Pasto</t>
        </is>
      </c>
      <c r="T266" t="inlineStr">
        <is>
          <t>Palermo</t>
        </is>
      </c>
      <c r="V266" t="inlineStr">
        <is>
          <t>Pasto</t>
        </is>
      </c>
      <c r="W266" t="inlineStr">
        <is>
          <t>Obonuco</t>
        </is>
      </c>
      <c r="Y266" t="inlineStr">
        <is>
          <t>Consacá</t>
        </is>
      </c>
      <c r="Z266" t="inlineStr">
        <is>
          <t>El Guabo</t>
        </is>
      </c>
    </row>
    <row r="267">
      <c r="S267" t="inlineStr">
        <is>
          <t>Pasto</t>
        </is>
      </c>
      <c r="T267" t="inlineStr">
        <is>
          <t>Panamericana</t>
        </is>
      </c>
      <c r="V267" t="inlineStr">
        <is>
          <t>Pasto</t>
        </is>
      </c>
      <c r="W267" t="inlineStr">
        <is>
          <t>Puerres</t>
        </is>
      </c>
      <c r="Y267" t="inlineStr">
        <is>
          <t>Consacá</t>
        </is>
      </c>
      <c r="Z267" t="inlineStr">
        <is>
          <t>El Hatillo</t>
        </is>
      </c>
    </row>
    <row r="268">
      <c r="S268" t="inlineStr">
        <is>
          <t>Pasto</t>
        </is>
      </c>
      <c r="T268" t="inlineStr">
        <is>
          <t>Panamericano</t>
        </is>
      </c>
      <c r="V268" t="inlineStr">
        <is>
          <t>Pasto</t>
        </is>
      </c>
      <c r="W268" t="inlineStr">
        <is>
          <t>San Fernando</t>
        </is>
      </c>
      <c r="Y268" t="inlineStr">
        <is>
          <t>Consacá</t>
        </is>
      </c>
      <c r="Z268" t="inlineStr">
        <is>
          <t>El Hatillo Bajo</t>
        </is>
      </c>
    </row>
    <row r="269">
      <c r="S269" t="inlineStr">
        <is>
          <t>Pasto</t>
        </is>
      </c>
      <c r="T269" t="inlineStr">
        <is>
          <t>Pandiaco</t>
        </is>
      </c>
      <c r="V269" t="inlineStr">
        <is>
          <t>Pasto</t>
        </is>
      </c>
      <c r="W269" t="inlineStr">
        <is>
          <t>San Francisco</t>
        </is>
      </c>
      <c r="Y269" t="inlineStr">
        <is>
          <t>Consacá</t>
        </is>
      </c>
      <c r="Z269" t="inlineStr">
        <is>
          <t>El Juncal</t>
        </is>
      </c>
    </row>
    <row r="270">
      <c r="S270" t="inlineStr">
        <is>
          <t>Pasto</t>
        </is>
      </c>
      <c r="T270" t="inlineStr">
        <is>
          <t>Panoramico I</t>
        </is>
      </c>
      <c r="V270" t="inlineStr">
        <is>
          <t>Pasto</t>
        </is>
      </c>
      <c r="W270" t="inlineStr">
        <is>
          <t>San José</t>
        </is>
      </c>
      <c r="Y270" t="inlineStr">
        <is>
          <t>Consacá</t>
        </is>
      </c>
      <c r="Z270" t="inlineStr">
        <is>
          <t>El Tejar</t>
        </is>
      </c>
    </row>
    <row r="271">
      <c r="S271" t="inlineStr">
        <is>
          <t>Pasto</t>
        </is>
      </c>
      <c r="T271" t="inlineStr">
        <is>
          <t>Panoramico Ii</t>
        </is>
      </c>
      <c r="V271" t="inlineStr">
        <is>
          <t>Pasto</t>
        </is>
      </c>
      <c r="W271" t="inlineStr">
        <is>
          <t>San Juan de Anganoy</t>
        </is>
      </c>
      <c r="Y271" t="inlineStr">
        <is>
          <t>Consacá</t>
        </is>
      </c>
      <c r="Z271" t="inlineStr">
        <is>
          <t>Guabo Alto</t>
        </is>
      </c>
    </row>
    <row r="272">
      <c r="S272" t="inlineStr">
        <is>
          <t>Pasto</t>
        </is>
      </c>
      <c r="T272" t="inlineStr">
        <is>
          <t>Parana</t>
        </is>
      </c>
      <c r="V272" t="inlineStr">
        <is>
          <t>Pasto</t>
        </is>
      </c>
      <c r="W272" t="inlineStr">
        <is>
          <t>Santa Bárbara</t>
        </is>
      </c>
      <c r="Y272" t="inlineStr">
        <is>
          <t>Consacá</t>
        </is>
      </c>
      <c r="Z272" t="inlineStr">
        <is>
          <t>Josepe</t>
        </is>
      </c>
    </row>
    <row r="273">
      <c r="S273" t="inlineStr">
        <is>
          <t>Pasto</t>
        </is>
      </c>
      <c r="T273" t="inlineStr">
        <is>
          <t>Parque Baviera</t>
        </is>
      </c>
      <c r="V273" t="inlineStr">
        <is>
          <t>Pasto</t>
        </is>
      </c>
      <c r="W273" t="inlineStr">
        <is>
          <t>Santa Lucía</t>
        </is>
      </c>
      <c r="Y273" t="inlineStr">
        <is>
          <t>Consacá</t>
        </is>
      </c>
      <c r="Z273" t="inlineStr">
        <is>
          <t>La Aguada</t>
        </is>
      </c>
    </row>
    <row r="274">
      <c r="S274" t="inlineStr">
        <is>
          <t>Pasto</t>
        </is>
      </c>
      <c r="T274" t="inlineStr">
        <is>
          <t>Parque Chapalito</t>
        </is>
      </c>
      <c r="V274" t="inlineStr">
        <is>
          <t>Pasto</t>
        </is>
      </c>
      <c r="W274" t="inlineStr">
        <is>
          <t>Tescual</t>
        </is>
      </c>
      <c r="Y274" t="inlineStr">
        <is>
          <t>Consacá</t>
        </is>
      </c>
      <c r="Z274" t="inlineStr">
        <is>
          <t>La Loma</t>
        </is>
      </c>
    </row>
    <row r="275">
      <c r="S275" t="inlineStr">
        <is>
          <t>Pasto</t>
        </is>
      </c>
      <c r="T275" t="inlineStr">
        <is>
          <t>Parque de los Periodistas</t>
        </is>
      </c>
      <c r="V275" t="inlineStr">
        <is>
          <t>Pasto</t>
        </is>
      </c>
      <c r="W275" t="inlineStr">
        <is>
          <t>Villa María</t>
        </is>
      </c>
      <c r="Y275" t="inlineStr">
        <is>
          <t>Consacá</t>
        </is>
      </c>
      <c r="Z275" t="inlineStr">
        <is>
          <t>Paltapamba</t>
        </is>
      </c>
    </row>
    <row r="276">
      <c r="S276" t="inlineStr">
        <is>
          <t>Pasto</t>
        </is>
      </c>
      <c r="T276" t="inlineStr">
        <is>
          <t>Parque Infantil</t>
        </is>
      </c>
      <c r="V276" t="inlineStr">
        <is>
          <t>Policarpa</t>
        </is>
      </c>
      <c r="W276" t="inlineStr">
        <is>
          <t>Altamira</t>
        </is>
      </c>
      <c r="Y276" t="inlineStr">
        <is>
          <t>Consacá</t>
        </is>
      </c>
      <c r="Z276" t="inlineStr">
        <is>
          <t>Rosario Bajo</t>
        </is>
      </c>
    </row>
    <row r="277">
      <c r="S277" t="inlineStr">
        <is>
          <t>Pasto</t>
        </is>
      </c>
      <c r="T277" t="inlineStr">
        <is>
          <t>Piedecuesta I</t>
        </is>
      </c>
      <c r="V277" t="inlineStr">
        <is>
          <t>Policarpa</t>
        </is>
      </c>
      <c r="W277" t="inlineStr">
        <is>
          <t>El Cerro</t>
        </is>
      </c>
      <c r="Y277" t="inlineStr">
        <is>
          <t>Consacá</t>
        </is>
      </c>
      <c r="Z277" t="inlineStr">
        <is>
          <t>Rumipamba</t>
        </is>
      </c>
    </row>
    <row r="278">
      <c r="S278" t="inlineStr">
        <is>
          <t>Pasto</t>
        </is>
      </c>
      <c r="T278" t="inlineStr">
        <is>
          <t>Piedecuesta Ii</t>
        </is>
      </c>
      <c r="V278" t="inlineStr">
        <is>
          <t>Policarpa</t>
        </is>
      </c>
      <c r="W278" t="inlineStr">
        <is>
          <t>El Ejido</t>
        </is>
      </c>
      <c r="Y278" t="inlineStr">
        <is>
          <t>Consacá</t>
        </is>
      </c>
      <c r="Z278" t="inlineStr">
        <is>
          <t>San Antonio</t>
        </is>
      </c>
    </row>
    <row r="279">
      <c r="S279" t="inlineStr">
        <is>
          <t>Pasto</t>
        </is>
      </c>
      <c r="T279" t="inlineStr">
        <is>
          <t>Pinar del Rio</t>
        </is>
      </c>
      <c r="V279" t="inlineStr">
        <is>
          <t>Policarpa</t>
        </is>
      </c>
      <c r="W279" t="inlineStr">
        <is>
          <t>La Vega</t>
        </is>
      </c>
      <c r="Y279" t="inlineStr">
        <is>
          <t>Consacá</t>
        </is>
      </c>
      <c r="Z279" t="inlineStr">
        <is>
          <t>San José del Salado</t>
        </is>
      </c>
    </row>
    <row r="280">
      <c r="S280" t="inlineStr">
        <is>
          <t>Pasto</t>
        </is>
      </c>
      <c r="T280" t="inlineStr">
        <is>
          <t>Pinos del Norte</t>
        </is>
      </c>
      <c r="V280" t="inlineStr">
        <is>
          <t>Policarpa</t>
        </is>
      </c>
      <c r="W280" t="inlineStr">
        <is>
          <t>Madrigal</t>
        </is>
      </c>
      <c r="Y280" t="inlineStr">
        <is>
          <t>Consacá</t>
        </is>
      </c>
      <c r="Z280" t="inlineStr">
        <is>
          <t>San Rafael</t>
        </is>
      </c>
    </row>
    <row r="281">
      <c r="S281" t="inlineStr">
        <is>
          <t>Pasto</t>
        </is>
      </c>
      <c r="T281" t="inlineStr">
        <is>
          <t>Popular</t>
        </is>
      </c>
      <c r="V281" t="inlineStr">
        <is>
          <t>Policarpa</t>
        </is>
      </c>
      <c r="W281" t="inlineStr">
        <is>
          <t>Restrepo</t>
        </is>
      </c>
      <c r="Y281" t="inlineStr">
        <is>
          <t>Consacá</t>
        </is>
      </c>
      <c r="Z281" t="inlineStr">
        <is>
          <t>Santa Inés</t>
        </is>
      </c>
    </row>
    <row r="282">
      <c r="S282" t="inlineStr">
        <is>
          <t>Pasto</t>
        </is>
      </c>
      <c r="T282" t="inlineStr">
        <is>
          <t>Portal de Aranda I</t>
        </is>
      </c>
      <c r="V282" t="inlineStr">
        <is>
          <t>Policarpa</t>
        </is>
      </c>
      <c r="W282" t="inlineStr">
        <is>
          <t>San Pablo</t>
        </is>
      </c>
      <c r="Y282" t="inlineStr">
        <is>
          <t>Consacá</t>
        </is>
      </c>
      <c r="Z282" t="inlineStr">
        <is>
          <t>Tinajillas</t>
        </is>
      </c>
    </row>
    <row r="283">
      <c r="S283" t="inlineStr">
        <is>
          <t>Pasto</t>
        </is>
      </c>
      <c r="T283" t="inlineStr">
        <is>
          <t>Portal de Aranda Ii</t>
        </is>
      </c>
      <c r="V283" t="inlineStr">
        <is>
          <t>Policarpa</t>
        </is>
      </c>
      <c r="W283" t="inlineStr">
        <is>
          <t>San Roque (buenavista)</t>
        </is>
      </c>
      <c r="Y283" t="inlineStr">
        <is>
          <t>Consacá</t>
        </is>
      </c>
      <c r="Z283" t="inlineStr">
        <is>
          <t>Veracruz</t>
        </is>
      </c>
    </row>
    <row r="284">
      <c r="S284" t="inlineStr">
        <is>
          <t>Pasto</t>
        </is>
      </c>
      <c r="T284" t="inlineStr">
        <is>
          <t>Portal de Aranda Iii</t>
        </is>
      </c>
      <c r="V284" t="inlineStr">
        <is>
          <t>Policarpa</t>
        </is>
      </c>
      <c r="W284" t="inlineStr">
        <is>
          <t>Sánchez</t>
        </is>
      </c>
      <c r="Y284" t="inlineStr">
        <is>
          <t>Consacá</t>
        </is>
      </c>
      <c r="Z284" t="inlineStr">
        <is>
          <t>Villa Inés</t>
        </is>
      </c>
    </row>
    <row r="285">
      <c r="S285" t="inlineStr">
        <is>
          <t>Pasto</t>
        </is>
      </c>
      <c r="T285" t="inlineStr">
        <is>
          <t>Portal de la Colina</t>
        </is>
      </c>
      <c r="V285" t="inlineStr">
        <is>
          <t>Policarpa</t>
        </is>
      </c>
      <c r="W285" t="inlineStr">
        <is>
          <t>Santa Cruz</t>
        </is>
      </c>
      <c r="Y285" t="inlineStr">
        <is>
          <t>Contadero</t>
        </is>
      </c>
      <c r="Z285" t="inlineStr">
        <is>
          <t>Aldea de María</t>
        </is>
      </c>
    </row>
    <row r="286">
      <c r="S286" t="inlineStr">
        <is>
          <t>Pasto</t>
        </is>
      </c>
      <c r="T286" t="inlineStr">
        <is>
          <t>Portal del Norte</t>
        </is>
      </c>
      <c r="V286" t="inlineStr">
        <is>
          <t>Potosí</t>
        </is>
      </c>
      <c r="W286" t="inlineStr">
        <is>
          <t>Bajo Sinaí</t>
        </is>
      </c>
      <c r="Y286" t="inlineStr">
        <is>
          <t>Contadero</t>
        </is>
      </c>
      <c r="Z286" t="inlineStr">
        <is>
          <t>Chorrera Negra</t>
        </is>
      </c>
    </row>
    <row r="287">
      <c r="S287" t="inlineStr">
        <is>
          <t>Pasto</t>
        </is>
      </c>
      <c r="T287" t="inlineStr">
        <is>
          <t>Portal del Valle de Atriz</t>
        </is>
      </c>
      <c r="V287" t="inlineStr">
        <is>
          <t>Potosí</t>
        </is>
      </c>
      <c r="W287" t="inlineStr">
        <is>
          <t>Cárdenas</t>
        </is>
      </c>
      <c r="Y287" t="inlineStr">
        <is>
          <t>Contadero</t>
        </is>
      </c>
      <c r="Z287" t="inlineStr">
        <is>
          <t>El Capuli</t>
        </is>
      </c>
    </row>
    <row r="288">
      <c r="S288" t="inlineStr">
        <is>
          <t>Pasto</t>
        </is>
      </c>
      <c r="T288" t="inlineStr">
        <is>
          <t>Potrerillo</t>
        </is>
      </c>
      <c r="V288" t="inlineStr">
        <is>
          <t>Potosí</t>
        </is>
      </c>
      <c r="W288" t="inlineStr">
        <is>
          <t>San Pedro</t>
        </is>
      </c>
      <c r="Y288" t="inlineStr">
        <is>
          <t>Contadero</t>
        </is>
      </c>
      <c r="Z288" t="inlineStr">
        <is>
          <t>El Contaderito</t>
        </is>
      </c>
    </row>
    <row r="289">
      <c r="S289" t="inlineStr">
        <is>
          <t>Pasto</t>
        </is>
      </c>
      <c r="T289" t="inlineStr">
        <is>
          <t>Prado Verde</t>
        </is>
      </c>
      <c r="V289" t="inlineStr">
        <is>
          <t>Providencia</t>
        </is>
      </c>
      <c r="W289" t="inlineStr">
        <is>
          <t>Guadrahuma</t>
        </is>
      </c>
      <c r="Y289" t="inlineStr">
        <is>
          <t>Contadero</t>
        </is>
      </c>
      <c r="Z289" t="inlineStr">
        <is>
          <t>El Culantro</t>
        </is>
      </c>
    </row>
    <row r="290">
      <c r="S290" t="inlineStr">
        <is>
          <t>Pasto</t>
        </is>
      </c>
      <c r="T290" t="inlineStr">
        <is>
          <t>Prados de Niza</t>
        </is>
      </c>
      <c r="V290" t="inlineStr">
        <is>
          <t>Puerres</t>
        </is>
      </c>
      <c r="W290" t="inlineStr">
        <is>
          <t>El Llano</t>
        </is>
      </c>
      <c r="Y290" t="inlineStr">
        <is>
          <t>Contadero</t>
        </is>
      </c>
      <c r="Z290" t="inlineStr">
        <is>
          <t>El Juncal</t>
        </is>
      </c>
    </row>
    <row r="291">
      <c r="S291" t="inlineStr">
        <is>
          <t>Pasto</t>
        </is>
      </c>
      <c r="T291" t="inlineStr">
        <is>
          <t>Prados de Oeste</t>
        </is>
      </c>
      <c r="V291" t="inlineStr">
        <is>
          <t>Puerres</t>
        </is>
      </c>
      <c r="W291" t="inlineStr">
        <is>
          <t>Los Alizales</t>
        </is>
      </c>
      <c r="Y291" t="inlineStr">
        <is>
          <t>Contadero</t>
        </is>
      </c>
      <c r="Z291" t="inlineStr">
        <is>
          <t>El Manzano</t>
        </is>
      </c>
    </row>
    <row r="292">
      <c r="S292" t="inlineStr">
        <is>
          <t>Pasto</t>
        </is>
      </c>
      <c r="T292" t="inlineStr">
        <is>
          <t>Prados del Norte</t>
        </is>
      </c>
      <c r="V292" t="inlineStr">
        <is>
          <t>Puerres</t>
        </is>
      </c>
      <c r="W292" t="inlineStr">
        <is>
          <t>Maicira</t>
        </is>
      </c>
      <c r="Y292" t="inlineStr">
        <is>
          <t>Contadero</t>
        </is>
      </c>
      <c r="Z292" t="inlineStr">
        <is>
          <t>Iscuazan</t>
        </is>
      </c>
    </row>
    <row r="293">
      <c r="S293" t="inlineStr">
        <is>
          <t>Pasto</t>
        </is>
      </c>
      <c r="T293" t="inlineStr">
        <is>
          <t>Prados del Sur</t>
        </is>
      </c>
      <c r="V293" t="inlineStr">
        <is>
          <t>Puerres</t>
        </is>
      </c>
      <c r="W293" t="inlineStr">
        <is>
          <t>Monopamba</t>
        </is>
      </c>
      <c r="Y293" t="inlineStr">
        <is>
          <t>Contadero</t>
        </is>
      </c>
      <c r="Z293" t="inlineStr">
        <is>
          <t>La Josefina</t>
        </is>
      </c>
    </row>
    <row r="294">
      <c r="S294" t="inlineStr">
        <is>
          <t>Pasto</t>
        </is>
      </c>
      <c r="T294" t="inlineStr">
        <is>
          <t>Praga</t>
        </is>
      </c>
      <c r="V294" t="inlineStr">
        <is>
          <t>Puerres</t>
        </is>
      </c>
      <c r="W294" t="inlineStr">
        <is>
          <t>San Mateo</t>
        </is>
      </c>
      <c r="Y294" t="inlineStr">
        <is>
          <t>Contadero</t>
        </is>
      </c>
      <c r="Z294" t="inlineStr">
        <is>
          <t>La Paz</t>
        </is>
      </c>
    </row>
    <row r="295">
      <c r="S295" t="inlineStr">
        <is>
          <t>Pasto</t>
        </is>
      </c>
      <c r="T295" t="inlineStr">
        <is>
          <t>Primavera</t>
        </is>
      </c>
      <c r="V295" t="inlineStr">
        <is>
          <t>Puerres</t>
        </is>
      </c>
      <c r="W295" t="inlineStr">
        <is>
          <t>San Miguel</t>
        </is>
      </c>
      <c r="Y295" t="inlineStr">
        <is>
          <t>Contadero</t>
        </is>
      </c>
      <c r="Z295" t="inlineStr">
        <is>
          <t>La Providencia</t>
        </is>
      </c>
    </row>
    <row r="296">
      <c r="S296" t="inlineStr">
        <is>
          <t>Pasto</t>
        </is>
      </c>
      <c r="T296" t="inlineStr">
        <is>
          <t>Pucalpa Alto</t>
        </is>
      </c>
      <c r="V296" t="inlineStr">
        <is>
          <t>Puerres</t>
        </is>
      </c>
      <c r="W296" t="inlineStr">
        <is>
          <t>Yanale</t>
        </is>
      </c>
      <c r="Y296" t="inlineStr">
        <is>
          <t>Contadero</t>
        </is>
      </c>
      <c r="Z296" t="inlineStr">
        <is>
          <t>Las Cuevas</t>
        </is>
      </c>
    </row>
    <row r="297">
      <c r="S297" t="inlineStr">
        <is>
          <t>Pasto</t>
        </is>
      </c>
      <c r="T297" t="inlineStr">
        <is>
          <t>Pucalpa I</t>
        </is>
      </c>
      <c r="V297" t="inlineStr">
        <is>
          <t>Pupiales</t>
        </is>
      </c>
      <c r="W297" t="inlineStr">
        <is>
          <t>Gualte</t>
        </is>
      </c>
      <c r="Y297" t="inlineStr">
        <is>
          <t>Contadero</t>
        </is>
      </c>
      <c r="Z297" t="inlineStr">
        <is>
          <t>Las Delicias</t>
        </is>
      </c>
    </row>
    <row r="298">
      <c r="S298" t="inlineStr">
        <is>
          <t>Pasto</t>
        </is>
      </c>
      <c r="T298" t="inlineStr">
        <is>
          <t>Pucalpa Ii</t>
        </is>
      </c>
      <c r="V298" t="inlineStr">
        <is>
          <t>Pupiales</t>
        </is>
      </c>
      <c r="W298" t="inlineStr">
        <is>
          <t>José María Hernández</t>
        </is>
      </c>
      <c r="Y298" t="inlineStr">
        <is>
          <t>Contadero</t>
        </is>
      </c>
      <c r="Z298" t="inlineStr">
        <is>
          <t>Ospina Pérez</t>
        </is>
      </c>
    </row>
    <row r="299">
      <c r="S299" t="inlineStr">
        <is>
          <t>Pasto</t>
        </is>
      </c>
      <c r="T299" t="inlineStr">
        <is>
          <t>Pucalpa Iii</t>
        </is>
      </c>
      <c r="V299" t="inlineStr">
        <is>
          <t>Ricaurte</t>
        </is>
      </c>
      <c r="W299" t="inlineStr">
        <is>
          <t>Chambu</t>
        </is>
      </c>
      <c r="Y299" t="inlineStr">
        <is>
          <t>Contadero</t>
        </is>
      </c>
      <c r="Z299" t="inlineStr">
        <is>
          <t>San Andrés</t>
        </is>
      </c>
    </row>
    <row r="300">
      <c r="S300" t="inlineStr">
        <is>
          <t>Pasto</t>
        </is>
      </c>
      <c r="T300" t="inlineStr">
        <is>
          <t>Puerres</t>
        </is>
      </c>
      <c r="V300" t="inlineStr">
        <is>
          <t>Ricaurte</t>
        </is>
      </c>
      <c r="W300" t="inlineStr">
        <is>
          <t>Cuaiquer</t>
        </is>
      </c>
      <c r="Y300" t="inlineStr">
        <is>
          <t>Contadero</t>
        </is>
      </c>
      <c r="Z300" t="inlineStr">
        <is>
          <t>San Francisco</t>
        </is>
      </c>
    </row>
    <row r="301">
      <c r="S301" t="inlineStr">
        <is>
          <t>Pasto</t>
        </is>
      </c>
      <c r="T301" t="inlineStr">
        <is>
          <t>Puertas del Sol</t>
        </is>
      </c>
      <c r="V301" t="inlineStr">
        <is>
          <t>Ricaurte</t>
        </is>
      </c>
      <c r="W301" t="inlineStr">
        <is>
          <t>Eden Cartagena</t>
        </is>
      </c>
      <c r="Y301" t="inlineStr">
        <is>
          <t>Contadero</t>
        </is>
      </c>
      <c r="Z301" t="inlineStr">
        <is>
          <t>San José de Quisnamuez</t>
        </is>
      </c>
    </row>
    <row r="302">
      <c r="S302" t="inlineStr">
        <is>
          <t>Pasto</t>
        </is>
      </c>
      <c r="T302" t="inlineStr">
        <is>
          <t>Quillasinga</t>
        </is>
      </c>
      <c r="V302" t="inlineStr">
        <is>
          <t>Ricaurte</t>
        </is>
      </c>
      <c r="W302" t="inlineStr">
        <is>
          <t>Ospina Pérez</t>
        </is>
      </c>
      <c r="Y302" t="inlineStr">
        <is>
          <t>Contadero</t>
        </is>
      </c>
      <c r="Z302" t="inlineStr">
        <is>
          <t>Santa Isabel</t>
        </is>
      </c>
    </row>
    <row r="303">
      <c r="S303" t="inlineStr">
        <is>
          <t>Pasto</t>
        </is>
      </c>
      <c r="T303" t="inlineStr">
        <is>
          <t>Quillotocto</t>
        </is>
      </c>
      <c r="V303" t="inlineStr">
        <is>
          <t>Ricaurte</t>
        </is>
      </c>
      <c r="W303" t="inlineStr">
        <is>
          <t>Palmar</t>
        </is>
      </c>
      <c r="Y303" t="inlineStr">
        <is>
          <t>Contadero</t>
        </is>
      </c>
      <c r="Z303" t="inlineStr">
        <is>
          <t>Santa Rosa de San Francisco</t>
        </is>
      </c>
    </row>
    <row r="304">
      <c r="S304" t="inlineStr">
        <is>
          <t>Pasto</t>
        </is>
      </c>
      <c r="T304" t="inlineStr">
        <is>
          <t>Quintas de San Pedro</t>
        </is>
      </c>
      <c r="V304" t="inlineStr">
        <is>
          <t>Ricaurte</t>
        </is>
      </c>
      <c r="W304" t="inlineStr">
        <is>
          <t>San Francisco</t>
        </is>
      </c>
      <c r="Y304" t="inlineStr">
        <is>
          <t>Contadero</t>
        </is>
      </c>
      <c r="Z304" t="inlineStr">
        <is>
          <t>Santo Domingo</t>
        </is>
      </c>
    </row>
    <row r="305">
      <c r="S305" t="inlineStr">
        <is>
          <t>Pasto</t>
        </is>
      </c>
      <c r="T305" t="inlineStr">
        <is>
          <t>Quito Lopez I</t>
        </is>
      </c>
      <c r="V305" t="inlineStr">
        <is>
          <t>Ricaurte</t>
        </is>
      </c>
      <c r="W305" t="inlineStr">
        <is>
          <t>San Isidro</t>
        </is>
      </c>
      <c r="Y305" t="inlineStr">
        <is>
          <t>Contadero</t>
        </is>
      </c>
      <c r="Z305" t="inlineStr">
        <is>
          <t>Simón Bolívar</t>
        </is>
      </c>
    </row>
    <row r="306">
      <c r="S306" t="inlineStr">
        <is>
          <t>Pasto</t>
        </is>
      </c>
      <c r="T306" t="inlineStr">
        <is>
          <t>Quito Lopez Ii</t>
        </is>
      </c>
      <c r="V306" t="inlineStr">
        <is>
          <t>Ricaurte</t>
        </is>
      </c>
      <c r="W306" t="inlineStr">
        <is>
          <t>Villa Nueva</t>
        </is>
      </c>
      <c r="Y306" t="inlineStr">
        <is>
          <t>Contadero</t>
        </is>
      </c>
      <c r="Z306" t="inlineStr">
        <is>
          <t>Yaez</t>
        </is>
      </c>
    </row>
    <row r="307">
      <c r="S307" t="inlineStr">
        <is>
          <t>Pasto</t>
        </is>
      </c>
      <c r="T307" t="inlineStr">
        <is>
          <t>Quito Lopez Iii</t>
        </is>
      </c>
      <c r="V307" t="inlineStr">
        <is>
          <t>Roberto Payán</t>
        </is>
      </c>
      <c r="W307" t="inlineStr">
        <is>
          <t>Las Lajas Pumbi</t>
        </is>
      </c>
      <c r="Y307" t="inlineStr">
        <is>
          <t>Córdoba</t>
        </is>
      </c>
      <c r="Z307" t="inlineStr">
        <is>
          <t>Afiladores</t>
        </is>
      </c>
    </row>
    <row r="308">
      <c r="S308" t="inlineStr">
        <is>
          <t>Pasto</t>
        </is>
      </c>
      <c r="T308" t="inlineStr">
        <is>
          <t>Refugio Valle de Atriz</t>
        </is>
      </c>
      <c r="V308" t="inlineStr">
        <is>
          <t>Roberto Payán</t>
        </is>
      </c>
      <c r="W308" t="inlineStr">
        <is>
          <t>Las Mercedes - Chimbuza</t>
        </is>
      </c>
      <c r="Y308" t="inlineStr">
        <is>
          <t>Córdoba</t>
        </is>
      </c>
      <c r="Z308" t="inlineStr">
        <is>
          <t>Arrayanes</t>
        </is>
      </c>
    </row>
    <row r="309">
      <c r="S309" t="inlineStr">
        <is>
          <t>Pasto</t>
        </is>
      </c>
      <c r="T309" t="inlineStr">
        <is>
          <t>Remansos del Norte</t>
        </is>
      </c>
      <c r="V309" t="inlineStr">
        <is>
          <t>Roberto Payán</t>
        </is>
      </c>
      <c r="W309" t="inlineStr">
        <is>
          <t>San Antonio - Boca Telembi</t>
        </is>
      </c>
      <c r="Y309" t="inlineStr">
        <is>
          <t>Córdoba</t>
        </is>
      </c>
      <c r="Z309" t="inlineStr">
        <is>
          <t>Bijagual</t>
        </is>
      </c>
    </row>
    <row r="310">
      <c r="S310" t="inlineStr">
        <is>
          <t>Pasto</t>
        </is>
      </c>
      <c r="T310" t="inlineStr">
        <is>
          <t>Renacer</t>
        </is>
      </c>
      <c r="V310" t="inlineStr">
        <is>
          <t>Samaniego</t>
        </is>
      </c>
      <c r="W310" t="inlineStr">
        <is>
          <t>Bonete</t>
        </is>
      </c>
      <c r="Y310" t="inlineStr">
        <is>
          <t>Córdoba</t>
        </is>
      </c>
      <c r="Z310" t="inlineStr">
        <is>
          <t>Chair</t>
        </is>
      </c>
    </row>
    <row r="311">
      <c r="S311" t="inlineStr">
        <is>
          <t>Pasto</t>
        </is>
      </c>
      <c r="T311" t="inlineStr">
        <is>
          <t>Rincon Colonial</t>
        </is>
      </c>
      <c r="V311" t="inlineStr">
        <is>
          <t>Samaniego</t>
        </is>
      </c>
      <c r="W311" t="inlineStr">
        <is>
          <t>Cartagena</t>
        </is>
      </c>
      <c r="Y311" t="inlineStr">
        <is>
          <t>Córdoba</t>
        </is>
      </c>
      <c r="Z311" t="inlineStr">
        <is>
          <t>Cordillera</t>
        </is>
      </c>
    </row>
    <row r="312">
      <c r="S312" t="inlineStr">
        <is>
          <t>Pasto</t>
        </is>
      </c>
      <c r="T312" t="inlineStr">
        <is>
          <t>Rincon de Aranda</t>
        </is>
      </c>
      <c r="V312" t="inlineStr">
        <is>
          <t>Samaniego</t>
        </is>
      </c>
      <c r="W312" t="inlineStr">
        <is>
          <t>Chuguldí</t>
        </is>
      </c>
      <c r="Y312" t="inlineStr">
        <is>
          <t>Córdoba</t>
        </is>
      </c>
      <c r="Z312" t="inlineStr">
        <is>
          <t>El Carmen</t>
        </is>
      </c>
    </row>
    <row r="313">
      <c r="S313" t="inlineStr">
        <is>
          <t>Pasto</t>
        </is>
      </c>
      <c r="T313" t="inlineStr">
        <is>
          <t>Rincon de Pasto</t>
        </is>
      </c>
      <c r="V313" t="inlineStr">
        <is>
          <t>Samaniego</t>
        </is>
      </c>
      <c r="W313" t="inlineStr">
        <is>
          <t>La Mesa</t>
        </is>
      </c>
      <c r="Y313" t="inlineStr">
        <is>
          <t>Córdoba</t>
        </is>
      </c>
      <c r="Z313" t="inlineStr">
        <is>
          <t>El Placer</t>
        </is>
      </c>
    </row>
    <row r="314">
      <c r="S314" t="inlineStr">
        <is>
          <t>Pasto</t>
        </is>
      </c>
      <c r="T314" t="inlineStr">
        <is>
          <t>Rincon Valle de Atriz</t>
        </is>
      </c>
      <c r="V314" t="inlineStr">
        <is>
          <t>Samaniego</t>
        </is>
      </c>
      <c r="W314" t="inlineStr">
        <is>
          <t>Mirador de Saraconcho</t>
        </is>
      </c>
      <c r="Y314" t="inlineStr">
        <is>
          <t>Córdoba</t>
        </is>
      </c>
      <c r="Z314" t="inlineStr">
        <is>
          <t>El Quemado</t>
        </is>
      </c>
    </row>
    <row r="315">
      <c r="S315" t="inlineStr">
        <is>
          <t>Pasto</t>
        </is>
      </c>
      <c r="T315" t="inlineStr">
        <is>
          <t>Rio Blanco</t>
        </is>
      </c>
      <c r="V315" t="inlineStr">
        <is>
          <t>Samaniego</t>
        </is>
      </c>
      <c r="W315" t="inlineStr">
        <is>
          <t>Obando</t>
        </is>
      </c>
      <c r="Y315" t="inlineStr">
        <is>
          <t>Córdoba</t>
        </is>
      </c>
      <c r="Z315" t="inlineStr">
        <is>
          <t>El Salado</t>
        </is>
      </c>
    </row>
    <row r="316">
      <c r="S316" t="inlineStr">
        <is>
          <t>Pasto</t>
        </is>
      </c>
      <c r="T316" t="inlineStr">
        <is>
          <t>Rosal de Oriente</t>
        </is>
      </c>
      <c r="V316" t="inlineStr">
        <is>
          <t>Samaniego</t>
        </is>
      </c>
      <c r="W316" t="inlineStr">
        <is>
          <t>Puerchag</t>
        </is>
      </c>
      <c r="Y316" t="inlineStr">
        <is>
          <t>Córdoba</t>
        </is>
      </c>
      <c r="Z316" t="inlineStr">
        <is>
          <t>El Voladero</t>
        </is>
      </c>
    </row>
    <row r="317">
      <c r="S317" t="inlineStr">
        <is>
          <t>Pasto</t>
        </is>
      </c>
      <c r="T317" t="inlineStr">
        <is>
          <t>Salomon</t>
        </is>
      </c>
      <c r="V317" t="inlineStr">
        <is>
          <t>Samaniego</t>
        </is>
      </c>
      <c r="W317" t="inlineStr">
        <is>
          <t>Tanama</t>
        </is>
      </c>
      <c r="Y317" t="inlineStr">
        <is>
          <t>Córdoba</t>
        </is>
      </c>
      <c r="Z317" t="inlineStr">
        <is>
          <t>Ensillada</t>
        </is>
      </c>
    </row>
    <row r="318">
      <c r="S318" t="inlineStr">
        <is>
          <t>Pasto</t>
        </is>
      </c>
      <c r="T318" t="inlineStr">
        <is>
          <t>Salsipuedes</t>
        </is>
      </c>
      <c r="V318" t="inlineStr">
        <is>
          <t>Samaniego</t>
        </is>
      </c>
      <c r="W318" t="inlineStr">
        <is>
          <t>Turupamba</t>
        </is>
      </c>
      <c r="Y318" t="inlineStr">
        <is>
          <t>Córdoba</t>
        </is>
      </c>
      <c r="Z318" t="inlineStr">
        <is>
          <t>Granadillo</t>
        </is>
      </c>
    </row>
    <row r="319">
      <c r="S319" t="inlineStr">
        <is>
          <t>Pasto</t>
        </is>
      </c>
      <c r="T319" t="inlineStr">
        <is>
          <t>San Albano</t>
        </is>
      </c>
      <c r="V319" t="inlineStr">
        <is>
          <t>San Andrés de Tumaco</t>
        </is>
      </c>
      <c r="W319" t="inlineStr">
        <is>
          <t>13 de Mayo</t>
        </is>
      </c>
      <c r="Y319" t="inlineStr">
        <is>
          <t>Córdoba</t>
        </is>
      </c>
      <c r="Z319" t="inlineStr">
        <is>
          <t>Guacas</t>
        </is>
      </c>
    </row>
    <row r="320">
      <c r="S320" t="inlineStr">
        <is>
          <t>Pasto</t>
        </is>
      </c>
      <c r="T320" t="inlineStr">
        <is>
          <t>San Andres</t>
        </is>
      </c>
      <c r="V320" t="inlineStr">
        <is>
          <t>San Andrés de Tumaco</t>
        </is>
      </c>
      <c r="W320" t="inlineStr">
        <is>
          <t>Achotal</t>
        </is>
      </c>
      <c r="Y320" t="inlineStr">
        <is>
          <t>Córdoba</t>
        </is>
      </c>
      <c r="Z320" t="inlineStr">
        <is>
          <t>Guitungal</t>
        </is>
      </c>
    </row>
    <row r="321">
      <c r="S321" t="inlineStr">
        <is>
          <t>Pasto</t>
        </is>
      </c>
      <c r="T321" t="inlineStr">
        <is>
          <t>San Antonio</t>
        </is>
      </c>
      <c r="V321" t="inlineStr">
        <is>
          <t>San Andrés de Tumaco</t>
        </is>
      </c>
      <c r="W321" t="inlineStr">
        <is>
          <t>Aguacate</t>
        </is>
      </c>
      <c r="Y321" t="inlineStr">
        <is>
          <t>Córdoba</t>
        </is>
      </c>
      <c r="Z321" t="inlineStr">
        <is>
          <t>Jardines de la Sierra</t>
        </is>
      </c>
    </row>
    <row r="322">
      <c r="S322" t="inlineStr">
        <is>
          <t>Pasto</t>
        </is>
      </c>
      <c r="T322" t="inlineStr">
        <is>
          <t>San Carlos</t>
        </is>
      </c>
      <c r="V322" t="inlineStr">
        <is>
          <t>San Andrés de Tumaco</t>
        </is>
      </c>
      <c r="W322" t="inlineStr">
        <is>
          <t>Albania</t>
        </is>
      </c>
      <c r="Y322" t="inlineStr">
        <is>
          <t>Córdoba</t>
        </is>
      </c>
      <c r="Z322" t="inlineStr">
        <is>
          <t>La Cumbre</t>
        </is>
      </c>
    </row>
    <row r="323">
      <c r="S323" t="inlineStr">
        <is>
          <t>Pasto</t>
        </is>
      </c>
      <c r="T323" t="inlineStr">
        <is>
          <t>San Diego</t>
        </is>
      </c>
      <c r="V323" t="inlineStr">
        <is>
          <t>San Andrés de Tumaco</t>
        </is>
      </c>
      <c r="W323" t="inlineStr">
        <is>
          <t>Alto Agua Clara</t>
        </is>
      </c>
      <c r="Y323" t="inlineStr">
        <is>
          <t>Córdoba</t>
        </is>
      </c>
      <c r="Z323" t="inlineStr">
        <is>
          <t>Llorente</t>
        </is>
      </c>
    </row>
    <row r="324">
      <c r="S324" t="inlineStr">
        <is>
          <t>Pasto</t>
        </is>
      </c>
      <c r="T324" t="inlineStr">
        <is>
          <t>San Diego Norte</t>
        </is>
      </c>
      <c r="V324" t="inlineStr">
        <is>
          <t>San Andrés de Tumaco</t>
        </is>
      </c>
      <c r="W324" t="inlineStr">
        <is>
          <t>Alto Buenos Aires</t>
        </is>
      </c>
      <c r="Y324" t="inlineStr">
        <is>
          <t>Córdoba</t>
        </is>
      </c>
      <c r="Z324" t="inlineStr">
        <is>
          <t>Mirador</t>
        </is>
      </c>
    </row>
    <row r="325">
      <c r="S325" t="inlineStr">
        <is>
          <t>Pasto</t>
        </is>
      </c>
      <c r="T325" t="inlineStr">
        <is>
          <t>San Felipe</t>
        </is>
      </c>
      <c r="V325" t="inlineStr">
        <is>
          <t>San Andrés de Tumaco</t>
        </is>
      </c>
      <c r="W325" t="inlineStr">
        <is>
          <t>Alto Jagua (río Mira)</t>
        </is>
      </c>
      <c r="Y325" t="inlineStr">
        <is>
          <t>Córdoba</t>
        </is>
      </c>
      <c r="Z325" t="inlineStr">
        <is>
          <t>Muesmeran Alto</t>
        </is>
      </c>
    </row>
    <row r="326">
      <c r="S326" t="inlineStr">
        <is>
          <t>Pasto</t>
        </is>
      </c>
      <c r="T326" t="inlineStr">
        <is>
          <t>San German</t>
        </is>
      </c>
      <c r="V326" t="inlineStr">
        <is>
          <t>San Andrés de Tumaco</t>
        </is>
      </c>
      <c r="W326" t="inlineStr">
        <is>
          <t>Alto Peña Liza</t>
        </is>
      </c>
      <c r="Y326" t="inlineStr">
        <is>
          <t>Córdoba</t>
        </is>
      </c>
      <c r="Z326" t="inlineStr">
        <is>
          <t>Muesmeran Bajo</t>
        </is>
      </c>
    </row>
    <row r="327">
      <c r="S327" t="inlineStr">
        <is>
          <t>Pasto</t>
        </is>
      </c>
      <c r="T327" t="inlineStr">
        <is>
          <t>San Ignacio</t>
        </is>
      </c>
      <c r="V327" t="inlineStr">
        <is>
          <t>San Andrés de Tumaco</t>
        </is>
      </c>
      <c r="W327" t="inlineStr">
        <is>
          <t>Alto Santo Domingo</t>
        </is>
      </c>
      <c r="Y327" t="inlineStr">
        <is>
          <t>Córdoba</t>
        </is>
      </c>
      <c r="Z327" t="inlineStr">
        <is>
          <t>Palmar</t>
        </is>
      </c>
    </row>
    <row r="328">
      <c r="S328" t="inlineStr">
        <is>
          <t>Pasto</t>
        </is>
      </c>
      <c r="T328" t="inlineStr">
        <is>
          <t>San Jose</t>
        </is>
      </c>
      <c r="V328" t="inlineStr">
        <is>
          <t>San Andrés de Tumaco</t>
        </is>
      </c>
      <c r="W328" t="inlineStr">
        <is>
          <t>Alto Villarica</t>
        </is>
      </c>
      <c r="Y328" t="inlineStr">
        <is>
          <t>Córdoba</t>
        </is>
      </c>
      <c r="Z328" t="inlineStr">
        <is>
          <t>Payan</t>
        </is>
      </c>
    </row>
    <row r="329">
      <c r="S329" t="inlineStr">
        <is>
          <t>Pasto</t>
        </is>
      </c>
      <c r="T329" t="inlineStr">
        <is>
          <t>San Juan de Dios</t>
        </is>
      </c>
      <c r="V329" t="inlineStr">
        <is>
          <t>San Andrés de Tumaco</t>
        </is>
      </c>
      <c r="W329" t="inlineStr">
        <is>
          <t>Bajo Buenos Aires (tablón Salado)</t>
        </is>
      </c>
      <c r="Y329" t="inlineStr">
        <is>
          <t>Córdoba</t>
        </is>
      </c>
      <c r="Z329" t="inlineStr">
        <is>
          <t>Pueblo Alto</t>
        </is>
      </c>
    </row>
    <row r="330">
      <c r="S330" t="inlineStr">
        <is>
          <t>Pasto</t>
        </is>
      </c>
      <c r="T330" t="inlineStr">
        <is>
          <t>San Juan de los Pastos</t>
        </is>
      </c>
      <c r="V330" t="inlineStr">
        <is>
          <t>San Andrés de Tumaco</t>
        </is>
      </c>
      <c r="W330" t="inlineStr">
        <is>
          <t>Bajo Guabal</t>
        </is>
      </c>
      <c r="Y330" t="inlineStr">
        <is>
          <t>Córdoba</t>
        </is>
      </c>
      <c r="Z330" t="inlineStr">
        <is>
          <t>Pueblo Bajo</t>
        </is>
      </c>
    </row>
    <row r="331">
      <c r="S331" t="inlineStr">
        <is>
          <t>Pasto</t>
        </is>
      </c>
      <c r="T331" t="inlineStr">
        <is>
          <t>San Martin</t>
        </is>
      </c>
      <c r="V331" t="inlineStr">
        <is>
          <t>San Andrés de Tumaco</t>
        </is>
      </c>
      <c r="W331" t="inlineStr">
        <is>
          <t>Bajo Jagua</t>
        </is>
      </c>
      <c r="Y331" t="inlineStr">
        <is>
          <t>Córdoba</t>
        </is>
      </c>
      <c r="Z331" t="inlineStr">
        <is>
          <t>Pulis</t>
        </is>
      </c>
    </row>
    <row r="332">
      <c r="S332" t="inlineStr">
        <is>
          <t>Pasto</t>
        </is>
      </c>
      <c r="T332" t="inlineStr">
        <is>
          <t>San Miguel</t>
        </is>
      </c>
      <c r="V332" t="inlineStr">
        <is>
          <t>San Andrés de Tumaco</t>
        </is>
      </c>
      <c r="W332" t="inlineStr">
        <is>
          <t>Barro Colorado</t>
        </is>
      </c>
      <c r="Y332" t="inlineStr">
        <is>
          <t>Córdoba</t>
        </is>
      </c>
      <c r="Z332" t="inlineStr">
        <is>
          <t>Quebrada Blanca</t>
        </is>
      </c>
    </row>
    <row r="333">
      <c r="S333" t="inlineStr">
        <is>
          <t>Pasto</t>
        </is>
      </c>
      <c r="T333" t="inlineStr">
        <is>
          <t>San Pedro</t>
        </is>
      </c>
      <c r="V333" t="inlineStr">
        <is>
          <t>San Andrés de Tumaco</t>
        </is>
      </c>
      <c r="W333" t="inlineStr">
        <is>
          <t>Bellavista</t>
        </is>
      </c>
      <c r="Y333" t="inlineStr">
        <is>
          <t>Córdoba</t>
        </is>
      </c>
      <c r="Z333" t="inlineStr">
        <is>
          <t>San Francisco</t>
        </is>
      </c>
    </row>
    <row r="334">
      <c r="S334" t="inlineStr">
        <is>
          <t>Pasto</t>
        </is>
      </c>
      <c r="T334" t="inlineStr">
        <is>
          <t>San Rafael</t>
        </is>
      </c>
      <c r="V334" t="inlineStr">
        <is>
          <t>San Andrés de Tumaco</t>
        </is>
      </c>
      <c r="W334" t="inlineStr">
        <is>
          <t>Boca de Tulmo</t>
        </is>
      </c>
      <c r="Y334" t="inlineStr">
        <is>
          <t>Córdoba</t>
        </is>
      </c>
      <c r="Z334" t="inlineStr">
        <is>
          <t>San Juan Chico</t>
        </is>
      </c>
    </row>
    <row r="335">
      <c r="S335" t="inlineStr">
        <is>
          <t>Pasto</t>
        </is>
      </c>
      <c r="T335" t="inlineStr">
        <is>
          <t>San Sebastian</t>
        </is>
      </c>
      <c r="V335" t="inlineStr">
        <is>
          <t>San Andrés de Tumaco</t>
        </is>
      </c>
      <c r="W335" t="inlineStr">
        <is>
          <t>Bocagrande</t>
        </is>
      </c>
      <c r="Y335" t="inlineStr">
        <is>
          <t>Córdoba</t>
        </is>
      </c>
      <c r="Z335" t="inlineStr">
        <is>
          <t>San Pablo</t>
        </is>
      </c>
    </row>
    <row r="336">
      <c r="S336" t="inlineStr">
        <is>
          <t>Pasto</t>
        </is>
      </c>
      <c r="T336" t="inlineStr">
        <is>
          <t>San Vicente</t>
        </is>
      </c>
      <c r="V336" t="inlineStr">
        <is>
          <t>San Andrés de Tumaco</t>
        </is>
      </c>
      <c r="W336" t="inlineStr">
        <is>
          <t>Bocana Nueva</t>
        </is>
      </c>
      <c r="Y336" t="inlineStr">
        <is>
          <t>Córdoba</t>
        </is>
      </c>
      <c r="Z336" t="inlineStr">
        <is>
          <t>Santa Brigida - la Florida</t>
        </is>
      </c>
    </row>
    <row r="337">
      <c r="S337" t="inlineStr">
        <is>
          <t>Pasto</t>
        </is>
      </c>
      <c r="T337" t="inlineStr">
        <is>
          <t>Santa Ana</t>
        </is>
      </c>
      <c r="V337" t="inlineStr">
        <is>
          <t>San Andrés de Tumaco</t>
        </is>
      </c>
      <c r="W337" t="inlineStr">
        <is>
          <t>Brisas del Acueducto</t>
        </is>
      </c>
      <c r="Y337" t="inlineStr">
        <is>
          <t>Córdoba</t>
        </is>
      </c>
      <c r="Z337" t="inlineStr">
        <is>
          <t>Santander</t>
        </is>
      </c>
    </row>
    <row r="338">
      <c r="S338" t="inlineStr">
        <is>
          <t>Pasto</t>
        </is>
      </c>
      <c r="T338" t="inlineStr">
        <is>
          <t>Santa Anita</t>
        </is>
      </c>
      <c r="V338" t="inlineStr">
        <is>
          <t>San Andrés de Tumaco</t>
        </is>
      </c>
      <c r="W338" t="inlineStr">
        <is>
          <t>Buchely</t>
        </is>
      </c>
      <c r="Y338" t="inlineStr">
        <is>
          <t>Córdoba</t>
        </is>
      </c>
      <c r="Z338" t="inlineStr">
        <is>
          <t>Sn Pablo de Bijagual</t>
        </is>
      </c>
    </row>
    <row r="339">
      <c r="S339" t="inlineStr">
        <is>
          <t>Pasto</t>
        </is>
      </c>
      <c r="T339" t="inlineStr">
        <is>
          <t>Santa Barbara</t>
        </is>
      </c>
      <c r="V339" t="inlineStr">
        <is>
          <t>San Andrés de Tumaco</t>
        </is>
      </c>
      <c r="W339" t="inlineStr">
        <is>
          <t>Buchely 2</t>
        </is>
      </c>
      <c r="Y339" t="inlineStr">
        <is>
          <t>Córdoba</t>
        </is>
      </c>
      <c r="Z339" t="inlineStr">
        <is>
          <t>Tandaud</t>
        </is>
      </c>
    </row>
    <row r="340">
      <c r="S340" t="inlineStr">
        <is>
          <t>Pasto</t>
        </is>
      </c>
      <c r="T340" t="inlineStr">
        <is>
          <t>Santa Catalina</t>
        </is>
      </c>
      <c r="V340" t="inlineStr">
        <is>
          <t>San Andrés de Tumaco</t>
        </is>
      </c>
      <c r="W340" t="inlineStr">
        <is>
          <t>Cacagual</t>
        </is>
      </c>
      <c r="Y340" t="inlineStr">
        <is>
          <t>Córdoba</t>
        </is>
      </c>
      <c r="Z340" t="inlineStr">
        <is>
          <t>Tequiz</t>
        </is>
      </c>
    </row>
    <row r="341">
      <c r="S341" t="inlineStr">
        <is>
          <t>Pasto</t>
        </is>
      </c>
      <c r="T341" t="inlineStr">
        <is>
          <t>Santa Clara</t>
        </is>
      </c>
      <c r="V341" t="inlineStr">
        <is>
          <t>San Andrés de Tumaco</t>
        </is>
      </c>
      <c r="W341" t="inlineStr">
        <is>
          <t>Cajapí</t>
        </is>
      </c>
      <c r="Y341" t="inlineStr">
        <is>
          <t>Córdoba</t>
        </is>
      </c>
      <c r="Z341" t="inlineStr">
        <is>
          <t>Yungachala</t>
        </is>
      </c>
    </row>
    <row r="342">
      <c r="S342" t="inlineStr">
        <is>
          <t>Pasto</t>
        </is>
      </c>
      <c r="T342" t="inlineStr">
        <is>
          <t>Santa Fe Ii</t>
        </is>
      </c>
      <c r="V342" t="inlineStr">
        <is>
          <t>San Andrés de Tumaco</t>
        </is>
      </c>
      <c r="W342" t="inlineStr">
        <is>
          <t>Cajapi del Mira</t>
        </is>
      </c>
      <c r="Y342" t="inlineStr">
        <is>
          <t>Cuaspud Carlosama</t>
        </is>
      </c>
      <c r="Z342" t="inlineStr">
        <is>
          <t>Chautala</t>
        </is>
      </c>
    </row>
    <row r="343">
      <c r="S343" t="inlineStr">
        <is>
          <t>Pasto</t>
        </is>
      </c>
      <c r="T343" t="inlineStr">
        <is>
          <t>Santa Isabel</t>
        </is>
      </c>
      <c r="V343" t="inlineStr">
        <is>
          <t>San Andrés de Tumaco</t>
        </is>
      </c>
      <c r="W343" t="inlineStr">
        <is>
          <t>Caleta Viento Libre</t>
        </is>
      </c>
      <c r="Y343" t="inlineStr">
        <is>
          <t>Cuaspud Carlosama</t>
        </is>
      </c>
      <c r="Z343" t="inlineStr">
        <is>
          <t>Chavisnan</t>
        </is>
      </c>
    </row>
    <row r="344">
      <c r="S344" t="inlineStr">
        <is>
          <t>Pasto</t>
        </is>
      </c>
      <c r="T344" t="inlineStr">
        <is>
          <t>Santa Maria</t>
        </is>
      </c>
      <c r="V344" t="inlineStr">
        <is>
          <t>San Andrés de Tumaco</t>
        </is>
      </c>
      <c r="W344" t="inlineStr">
        <is>
          <t>Candelilla</t>
        </is>
      </c>
      <c r="Y344" t="inlineStr">
        <is>
          <t>Cuaspud Carlosama</t>
        </is>
      </c>
      <c r="Z344" t="inlineStr">
        <is>
          <t>El Carchi</t>
        </is>
      </c>
    </row>
    <row r="345">
      <c r="S345" t="inlineStr">
        <is>
          <t>Pasto</t>
        </is>
      </c>
      <c r="T345" t="inlineStr">
        <is>
          <t>Santa Monica I</t>
        </is>
      </c>
      <c r="V345" t="inlineStr">
        <is>
          <t>San Andrés de Tumaco</t>
        </is>
      </c>
      <c r="W345" t="inlineStr">
        <is>
          <t>Candelillas de la Mar</t>
        </is>
      </c>
      <c r="Y345" t="inlineStr">
        <is>
          <t>Cuaspud Carlosama</t>
        </is>
      </c>
      <c r="Z345" t="inlineStr">
        <is>
          <t>El Lirio</t>
        </is>
      </c>
    </row>
    <row r="346">
      <c r="S346" t="inlineStr">
        <is>
          <t>Pasto</t>
        </is>
      </c>
      <c r="T346" t="inlineStr">
        <is>
          <t>Santa Monica Ii</t>
        </is>
      </c>
      <c r="V346" t="inlineStr">
        <is>
          <t>San Andrés de Tumaco</t>
        </is>
      </c>
      <c r="W346" t="inlineStr">
        <is>
          <t>Caunapí</t>
        </is>
      </c>
      <c r="Y346" t="inlineStr">
        <is>
          <t>Cuaspud Carlosama</t>
        </is>
      </c>
      <c r="Z346" t="inlineStr">
        <is>
          <t>El Socorro</t>
        </is>
      </c>
    </row>
    <row r="347">
      <c r="S347" t="inlineStr">
        <is>
          <t>Pasto</t>
        </is>
      </c>
      <c r="T347" t="inlineStr">
        <is>
          <t>Santa Monica Iii</t>
        </is>
      </c>
      <c r="V347" t="inlineStr">
        <is>
          <t>San Andrés de Tumaco</t>
        </is>
      </c>
      <c r="W347" t="inlineStr">
        <is>
          <t>Ceibito</t>
        </is>
      </c>
      <c r="Y347" t="inlineStr">
        <is>
          <t>Cuaspud Carlosama</t>
        </is>
      </c>
      <c r="Z347" t="inlineStr">
        <is>
          <t>Macas</t>
        </is>
      </c>
    </row>
    <row r="348">
      <c r="S348" t="inlineStr">
        <is>
          <t>Pasto</t>
        </is>
      </c>
      <c r="T348" t="inlineStr">
        <is>
          <t>Santa Monica Iv</t>
        </is>
      </c>
      <c r="V348" t="inlineStr">
        <is>
          <t>San Andrés de Tumaco</t>
        </is>
      </c>
      <c r="W348" t="inlineStr">
        <is>
          <t>Chajal</t>
        </is>
      </c>
      <c r="Y348" t="inlineStr">
        <is>
          <t>Cuaspud Carlosama</t>
        </is>
      </c>
      <c r="Z348" t="inlineStr">
        <is>
          <t>Puente Tierra</t>
        </is>
      </c>
    </row>
    <row r="349">
      <c r="S349" t="inlineStr">
        <is>
          <t>Pasto</t>
        </is>
      </c>
      <c r="T349" t="inlineStr">
        <is>
          <t>Santa Monica V</t>
        </is>
      </c>
      <c r="V349" t="inlineStr">
        <is>
          <t>San Andrés de Tumaco</t>
        </is>
      </c>
      <c r="W349" t="inlineStr">
        <is>
          <t>Chilvicito</t>
        </is>
      </c>
      <c r="Y349" t="inlineStr">
        <is>
          <t>Cuaspud Carlosama</t>
        </is>
      </c>
      <c r="Z349" t="inlineStr">
        <is>
          <t>San Francisco Montenegros</t>
        </is>
      </c>
    </row>
    <row r="350">
      <c r="S350" t="inlineStr">
        <is>
          <t>Pasto</t>
        </is>
      </c>
      <c r="T350" t="inlineStr">
        <is>
          <t>Santa Rita</t>
        </is>
      </c>
      <c r="V350" t="inlineStr">
        <is>
          <t>San Andrés de Tumaco</t>
        </is>
      </c>
      <c r="W350" t="inlineStr">
        <is>
          <t>Chimbuzal</t>
        </is>
      </c>
      <c r="Y350" t="inlineStr">
        <is>
          <t>Cuaspud Carlosama</t>
        </is>
      </c>
      <c r="Z350" t="inlineStr">
        <is>
          <t>San Franciso Arellanos</t>
        </is>
      </c>
    </row>
    <row r="351">
      <c r="S351" t="inlineStr">
        <is>
          <t>Pasto</t>
        </is>
      </c>
      <c r="T351" t="inlineStr">
        <is>
          <t>Santafe</t>
        </is>
      </c>
      <c r="V351" t="inlineStr">
        <is>
          <t>San Andrés de Tumaco</t>
        </is>
      </c>
      <c r="W351" t="inlineStr">
        <is>
          <t>Chontal</t>
        </is>
      </c>
      <c r="Y351" t="inlineStr">
        <is>
          <t>Cumbal</t>
        </is>
      </c>
      <c r="Z351" t="inlineStr">
        <is>
          <t>Miraflores</t>
        </is>
      </c>
    </row>
    <row r="352">
      <c r="S352" t="inlineStr">
        <is>
          <t>Pasto</t>
        </is>
      </c>
      <c r="T352" t="inlineStr">
        <is>
          <t>Santander</t>
        </is>
      </c>
      <c r="V352" t="inlineStr">
        <is>
          <t>San Andrés de Tumaco</t>
        </is>
      </c>
      <c r="W352" t="inlineStr">
        <is>
          <t>Colorado</t>
        </is>
      </c>
      <c r="Y352" t="inlineStr">
        <is>
          <t>Cumbal</t>
        </is>
      </c>
      <c r="Z352" t="inlineStr">
        <is>
          <t>Resguardo Indígena de Chiles</t>
        </is>
      </c>
    </row>
    <row r="353">
      <c r="S353" t="inlineStr">
        <is>
          <t>Pasto</t>
        </is>
      </c>
      <c r="T353" t="inlineStr">
        <is>
          <t>Santiago</t>
        </is>
      </c>
      <c r="V353" t="inlineStr">
        <is>
          <t>San Andrés de Tumaco</t>
        </is>
      </c>
      <c r="W353" t="inlineStr">
        <is>
          <t>Congal</t>
        </is>
      </c>
      <c r="Y353" t="inlineStr">
        <is>
          <t>Cumbal</t>
        </is>
      </c>
      <c r="Z353" t="inlineStr">
        <is>
          <t>Resguardo Indígena de Cumbal</t>
        </is>
      </c>
    </row>
    <row r="354">
      <c r="S354" t="inlineStr">
        <is>
          <t>Pasto</t>
        </is>
      </c>
      <c r="T354" t="inlineStr">
        <is>
          <t>Santo Sepulcro</t>
        </is>
      </c>
      <c r="V354" t="inlineStr">
        <is>
          <t>San Andrés de Tumaco</t>
        </is>
      </c>
      <c r="W354" t="inlineStr">
        <is>
          <t>Corriente Grande</t>
        </is>
      </c>
      <c r="Y354" t="inlineStr">
        <is>
          <t>Cumbal</t>
        </is>
      </c>
      <c r="Z354" t="inlineStr">
        <is>
          <t>Resguardo Indígena de Mayasquer</t>
        </is>
      </c>
    </row>
    <row r="355">
      <c r="S355" t="inlineStr">
        <is>
          <t>Pasto</t>
        </is>
      </c>
      <c r="T355" t="inlineStr">
        <is>
          <t>Sendoya</t>
        </is>
      </c>
      <c r="V355" t="inlineStr">
        <is>
          <t>San Andrés de Tumaco</t>
        </is>
      </c>
      <c r="W355" t="inlineStr">
        <is>
          <t>Cristo Rey</t>
        </is>
      </c>
      <c r="Y355" t="inlineStr">
        <is>
          <t>Cumbal</t>
        </is>
      </c>
      <c r="Z355" t="inlineStr">
        <is>
          <t>Resguardo Indígena de Payán</t>
        </is>
      </c>
    </row>
    <row r="356">
      <c r="S356" t="inlineStr">
        <is>
          <t>Pasto</t>
        </is>
      </c>
      <c r="T356" t="inlineStr">
        <is>
          <t>Simon Bolivar</t>
        </is>
      </c>
      <c r="V356" t="inlineStr">
        <is>
          <t>San Andrés de Tumaco</t>
        </is>
      </c>
      <c r="W356" t="inlineStr">
        <is>
          <t>Descolgadero</t>
        </is>
      </c>
      <c r="Y356" t="inlineStr">
        <is>
          <t>Cumbal</t>
        </is>
      </c>
      <c r="Z356" t="inlineStr">
        <is>
          <t>Villa Nueva</t>
        </is>
      </c>
    </row>
    <row r="357">
      <c r="S357" t="inlineStr">
        <is>
          <t>Pasto</t>
        </is>
      </c>
      <c r="T357" t="inlineStr">
        <is>
          <t>Sindagua</t>
        </is>
      </c>
      <c r="V357" t="inlineStr">
        <is>
          <t>San Andrés de Tumaco</t>
        </is>
      </c>
      <c r="W357" t="inlineStr">
        <is>
          <t>Dos Quebradas</t>
        </is>
      </c>
      <c r="Y357" t="inlineStr">
        <is>
          <t>Cumbitara</t>
        </is>
      </c>
      <c r="Z357" t="inlineStr">
        <is>
          <t>Aminda</t>
        </is>
      </c>
    </row>
    <row r="358">
      <c r="S358" t="inlineStr">
        <is>
          <t>Pasto</t>
        </is>
      </c>
      <c r="T358" t="inlineStr">
        <is>
          <t>Sindamanoy</t>
        </is>
      </c>
      <c r="V358" t="inlineStr">
        <is>
          <t>San Andrés de Tumaco</t>
        </is>
      </c>
      <c r="W358" t="inlineStr">
        <is>
          <t>El Bajito</t>
        </is>
      </c>
      <c r="Y358" t="inlineStr">
        <is>
          <t>Cumbitara</t>
        </is>
      </c>
      <c r="Z358" t="inlineStr">
        <is>
          <t>Bella Vista</t>
        </is>
      </c>
    </row>
    <row r="359">
      <c r="S359" t="inlineStr">
        <is>
          <t>Pasto</t>
        </is>
      </c>
      <c r="T359" t="inlineStr">
        <is>
          <t>Sol de Oriente</t>
        </is>
      </c>
      <c r="V359" t="inlineStr">
        <is>
          <t>San Andrés de Tumaco</t>
        </is>
      </c>
      <c r="W359" t="inlineStr">
        <is>
          <t>El Carmen Km 36</t>
        </is>
      </c>
      <c r="Y359" t="inlineStr">
        <is>
          <t>Cumbitara</t>
        </is>
      </c>
      <c r="Z359" t="inlineStr">
        <is>
          <t>Buenavista</t>
        </is>
      </c>
    </row>
    <row r="360">
      <c r="S360" t="inlineStr">
        <is>
          <t>Pasto</t>
        </is>
      </c>
      <c r="T360" t="inlineStr">
        <is>
          <t>Sumatambo</t>
        </is>
      </c>
      <c r="V360" t="inlineStr">
        <is>
          <t>San Andrés de Tumaco</t>
        </is>
      </c>
      <c r="W360" t="inlineStr">
        <is>
          <t>El Coco</t>
        </is>
      </c>
      <c r="Y360" t="inlineStr">
        <is>
          <t>Cumbitara</t>
        </is>
      </c>
      <c r="Z360" t="inlineStr">
        <is>
          <t>Buenos Aires</t>
        </is>
      </c>
    </row>
    <row r="361">
      <c r="S361" t="inlineStr">
        <is>
          <t>Pasto</t>
        </is>
      </c>
      <c r="T361" t="inlineStr">
        <is>
          <t>Sumatambo 2000</t>
        </is>
      </c>
      <c r="V361" t="inlineStr">
        <is>
          <t>San Andrés de Tumaco</t>
        </is>
      </c>
      <c r="W361" t="inlineStr">
        <is>
          <t>El Pinde</t>
        </is>
      </c>
      <c r="Y361" t="inlineStr">
        <is>
          <t>Cumbitara</t>
        </is>
      </c>
      <c r="Z361" t="inlineStr">
        <is>
          <t>Campo Bello</t>
        </is>
      </c>
    </row>
    <row r="362">
      <c r="S362" t="inlineStr">
        <is>
          <t>Pasto</t>
        </is>
      </c>
      <c r="T362" t="inlineStr">
        <is>
          <t>Tamasagra I</t>
        </is>
      </c>
      <c r="V362" t="inlineStr">
        <is>
          <t>San Andrés de Tumaco</t>
        </is>
      </c>
      <c r="W362" t="inlineStr">
        <is>
          <t>El Progreso Santo Domingo</t>
        </is>
      </c>
      <c r="Y362" t="inlineStr">
        <is>
          <t>Cumbitara</t>
        </is>
      </c>
      <c r="Z362" t="inlineStr">
        <is>
          <t>Cristo Rey</t>
        </is>
      </c>
    </row>
    <row r="363">
      <c r="S363" t="inlineStr">
        <is>
          <t>Pasto</t>
        </is>
      </c>
      <c r="T363" t="inlineStr">
        <is>
          <t>Tamasagra Ii</t>
        </is>
      </c>
      <c r="V363" t="inlineStr">
        <is>
          <t>San Andrés de Tumaco</t>
        </is>
      </c>
      <c r="W363" t="inlineStr">
        <is>
          <t>El Retorno</t>
        </is>
      </c>
      <c r="Y363" t="inlineStr">
        <is>
          <t>Cumbitara</t>
        </is>
      </c>
      <c r="Z363" t="inlineStr">
        <is>
          <t>Cumbitara</t>
        </is>
      </c>
    </row>
    <row r="364">
      <c r="S364" t="inlineStr">
        <is>
          <t>Pasto</t>
        </is>
      </c>
      <c r="T364" t="inlineStr">
        <is>
          <t>Tequendama</t>
        </is>
      </c>
      <c r="V364" t="inlineStr">
        <is>
          <t>San Andrés de Tumaco</t>
        </is>
      </c>
      <c r="W364" t="inlineStr">
        <is>
          <t>Espriella</t>
        </is>
      </c>
      <c r="Y364" t="inlineStr">
        <is>
          <t>Cumbitara</t>
        </is>
      </c>
      <c r="Z364" t="inlineStr">
        <is>
          <t>Damasco</t>
        </is>
      </c>
    </row>
    <row r="365">
      <c r="S365" t="inlineStr">
        <is>
          <t>Pasto</t>
        </is>
      </c>
      <c r="T365" t="inlineStr">
        <is>
          <t>Terrazas de Briceño</t>
        </is>
      </c>
      <c r="V365" t="inlineStr">
        <is>
          <t>San Andrés de Tumaco</t>
        </is>
      </c>
      <c r="W365" t="inlineStr">
        <is>
          <t>Firme de los Coimes</t>
        </is>
      </c>
      <c r="Y365" t="inlineStr">
        <is>
          <t>Cumbitara</t>
        </is>
      </c>
      <c r="Z365" t="inlineStr">
        <is>
          <t>Delicias</t>
        </is>
      </c>
    </row>
    <row r="366">
      <c r="S366" t="inlineStr">
        <is>
          <t>Pasto</t>
        </is>
      </c>
      <c r="T366" t="inlineStr">
        <is>
          <t>Terrazas de Chapal</t>
        </is>
      </c>
      <c r="V366" t="inlineStr">
        <is>
          <t>San Andrés de Tumaco</t>
        </is>
      </c>
      <c r="W366" t="inlineStr">
        <is>
          <t>Guabal</t>
        </is>
      </c>
      <c r="Y366" t="inlineStr">
        <is>
          <t>Cumbitara</t>
        </is>
      </c>
      <c r="Z366" t="inlineStr">
        <is>
          <t>Desplayado</t>
        </is>
      </c>
    </row>
    <row r="367">
      <c r="S367" t="inlineStr">
        <is>
          <t>Pasto</t>
        </is>
      </c>
      <c r="T367" t="inlineStr">
        <is>
          <t>Torobajo</t>
        </is>
      </c>
      <c r="V367" t="inlineStr">
        <is>
          <t>San Andrés de Tumaco</t>
        </is>
      </c>
      <c r="W367" t="inlineStr">
        <is>
          <t>Guachal</t>
        </is>
      </c>
      <c r="Y367" t="inlineStr">
        <is>
          <t>Cumbitara</t>
        </is>
      </c>
      <c r="Z367" t="inlineStr">
        <is>
          <t>El Caucho</t>
        </is>
      </c>
    </row>
    <row r="368">
      <c r="S368" t="inlineStr">
        <is>
          <t>Pasto</t>
        </is>
      </c>
      <c r="T368" t="inlineStr">
        <is>
          <t>Torre Ladera</t>
        </is>
      </c>
      <c r="V368" t="inlineStr">
        <is>
          <t>San Andrés de Tumaco</t>
        </is>
      </c>
      <c r="W368" t="inlineStr">
        <is>
          <t>Guachiri</t>
        </is>
      </c>
      <c r="Y368" t="inlineStr">
        <is>
          <t>Cumbitara</t>
        </is>
      </c>
      <c r="Z368" t="inlineStr">
        <is>
          <t>El Consuelo</t>
        </is>
      </c>
    </row>
    <row r="369">
      <c r="S369" t="inlineStr">
        <is>
          <t>Pasto</t>
        </is>
      </c>
      <c r="T369" t="inlineStr">
        <is>
          <t>Torre Maya</t>
        </is>
      </c>
      <c r="V369" t="inlineStr">
        <is>
          <t>San Andrés de Tumaco</t>
        </is>
      </c>
      <c r="W369" t="inlineStr">
        <is>
          <t>Guadual</t>
        </is>
      </c>
      <c r="Y369" t="inlineStr">
        <is>
          <t>Cumbitara</t>
        </is>
      </c>
      <c r="Z369" t="inlineStr">
        <is>
          <t>El Desierto</t>
        </is>
      </c>
    </row>
    <row r="370">
      <c r="S370" t="inlineStr">
        <is>
          <t>Pasto</t>
        </is>
      </c>
      <c r="T370" t="inlineStr">
        <is>
          <t>Torres de Aquine</t>
        </is>
      </c>
      <c r="V370" t="inlineStr">
        <is>
          <t>San Andrés de Tumaco</t>
        </is>
      </c>
      <c r="W370" t="inlineStr">
        <is>
          <t>Gualtal</t>
        </is>
      </c>
      <c r="Y370" t="inlineStr">
        <is>
          <t>Cumbitara</t>
        </is>
      </c>
      <c r="Z370" t="inlineStr">
        <is>
          <t>El Pinde</t>
        </is>
      </c>
    </row>
    <row r="371">
      <c r="S371" t="inlineStr">
        <is>
          <t>Pasto</t>
        </is>
      </c>
      <c r="T371" t="inlineStr">
        <is>
          <t>Torres de Mariluz</t>
        </is>
      </c>
      <c r="V371" t="inlineStr">
        <is>
          <t>San Andrés de Tumaco</t>
        </is>
      </c>
      <c r="W371" t="inlineStr">
        <is>
          <t>Guayacana</t>
        </is>
      </c>
      <c r="Y371" t="inlineStr">
        <is>
          <t>Cumbitara</t>
        </is>
      </c>
      <c r="Z371" t="inlineStr">
        <is>
          <t>El Placer</t>
        </is>
      </c>
    </row>
    <row r="372">
      <c r="S372" t="inlineStr">
        <is>
          <t>Pasto</t>
        </is>
      </c>
      <c r="T372" t="inlineStr">
        <is>
          <t>Torres de Pubenza</t>
        </is>
      </c>
      <c r="V372" t="inlineStr">
        <is>
          <t>San Andrés de Tumaco</t>
        </is>
      </c>
      <c r="W372" t="inlineStr">
        <is>
          <t>Imbilí</t>
        </is>
      </c>
      <c r="Y372" t="inlineStr">
        <is>
          <t>Cumbitara</t>
        </is>
      </c>
      <c r="Z372" t="inlineStr">
        <is>
          <t>El Venticuatro</t>
        </is>
      </c>
    </row>
    <row r="373">
      <c r="S373" t="inlineStr">
        <is>
          <t>Pasto</t>
        </is>
      </c>
      <c r="T373" t="inlineStr">
        <is>
          <t>Torres del Cielo</t>
        </is>
      </c>
      <c r="V373" t="inlineStr">
        <is>
          <t>San Andrés de Tumaco</t>
        </is>
      </c>
      <c r="W373" t="inlineStr">
        <is>
          <t>Imbili Miraspalmas</t>
        </is>
      </c>
      <c r="Y373" t="inlineStr">
        <is>
          <t>Cumbitara</t>
        </is>
      </c>
      <c r="Z373" t="inlineStr">
        <is>
          <t>Florida</t>
        </is>
      </c>
    </row>
    <row r="374">
      <c r="S374" t="inlineStr">
        <is>
          <t>Pasto</t>
        </is>
      </c>
      <c r="T374" t="inlineStr">
        <is>
          <t>Torres Girasol</t>
        </is>
      </c>
      <c r="V374" t="inlineStr">
        <is>
          <t>San Andrés de Tumaco</t>
        </is>
      </c>
      <c r="W374" t="inlineStr">
        <is>
          <t>Imbilpi del Carmen</t>
        </is>
      </c>
      <c r="Y374" t="inlineStr">
        <is>
          <t>Cumbitara</t>
        </is>
      </c>
      <c r="Z374" t="inlineStr">
        <is>
          <t>Guadalito</t>
        </is>
      </c>
    </row>
    <row r="375">
      <c r="S375" t="inlineStr">
        <is>
          <t>Pasto</t>
        </is>
      </c>
      <c r="T375" t="inlineStr">
        <is>
          <t>Torres Turin</t>
        </is>
      </c>
      <c r="V375" t="inlineStr">
        <is>
          <t>San Andrés de Tumaco</t>
        </is>
      </c>
      <c r="W375" t="inlineStr">
        <is>
          <t>Inda Zabaleta</t>
        </is>
      </c>
      <c r="Y375" t="inlineStr">
        <is>
          <t>Cumbitara</t>
        </is>
      </c>
      <c r="Z375" t="inlineStr">
        <is>
          <t>Guayabalito Nulpi</t>
        </is>
      </c>
    </row>
    <row r="376">
      <c r="S376" t="inlineStr">
        <is>
          <t>Pasto</t>
        </is>
      </c>
      <c r="T376" t="inlineStr">
        <is>
          <t>Ullahuanga</t>
        </is>
      </c>
      <c r="V376" t="inlineStr">
        <is>
          <t>San Andrés de Tumaco</t>
        </is>
      </c>
      <c r="W376" t="inlineStr">
        <is>
          <t>Inguapi del Carmen</t>
        </is>
      </c>
      <c r="Y376" t="inlineStr">
        <is>
          <t>Cumbitara</t>
        </is>
      </c>
      <c r="Z376" t="inlineStr">
        <is>
          <t>La Esperanza</t>
        </is>
      </c>
    </row>
    <row r="377">
      <c r="S377" t="inlineStr">
        <is>
          <t>Pasto</t>
        </is>
      </c>
      <c r="T377" t="inlineStr">
        <is>
          <t>Unidad Residencial Mijitayo</t>
        </is>
      </c>
      <c r="V377" t="inlineStr">
        <is>
          <t>San Andrés de Tumaco</t>
        </is>
      </c>
      <c r="W377" t="inlineStr">
        <is>
          <t>Inguapi del Carmen 2</t>
        </is>
      </c>
      <c r="Y377" t="inlineStr">
        <is>
          <t>Cumbitara</t>
        </is>
      </c>
      <c r="Z377" t="inlineStr">
        <is>
          <t>La Espiga</t>
        </is>
      </c>
    </row>
    <row r="378">
      <c r="S378" t="inlineStr">
        <is>
          <t>Pasto</t>
        </is>
      </c>
      <c r="T378" t="inlineStr">
        <is>
          <t>Universitario</t>
        </is>
      </c>
      <c r="V378" t="inlineStr">
        <is>
          <t>San Andrés de Tumaco</t>
        </is>
      </c>
      <c r="W378" t="inlineStr">
        <is>
          <t>Inguapi el Guadual</t>
        </is>
      </c>
      <c r="Y378" t="inlineStr">
        <is>
          <t>Cumbitara</t>
        </is>
      </c>
      <c r="Z378" t="inlineStr">
        <is>
          <t>La Floresta</t>
        </is>
      </c>
    </row>
    <row r="379">
      <c r="S379" t="inlineStr">
        <is>
          <t>Pasto</t>
        </is>
      </c>
      <c r="T379" t="inlineStr">
        <is>
          <t>Urb Agualongo Ii Etapa I</t>
        </is>
      </c>
      <c r="V379" t="inlineStr">
        <is>
          <t>San Andrés de Tumaco</t>
        </is>
      </c>
      <c r="W379" t="inlineStr">
        <is>
          <t>Inguapi la Chiricana</t>
        </is>
      </c>
      <c r="Y379" t="inlineStr">
        <is>
          <t>Cumbitara</t>
        </is>
      </c>
      <c r="Z379" t="inlineStr">
        <is>
          <t>La Herradura</t>
        </is>
      </c>
    </row>
    <row r="380">
      <c r="S380" t="inlineStr">
        <is>
          <t>Pasto</t>
        </is>
      </c>
      <c r="T380" t="inlineStr">
        <is>
          <t>Urb Agualongo Ii Etapa Ii</t>
        </is>
      </c>
      <c r="V380" t="inlineStr">
        <is>
          <t>San Andrés de Tumaco</t>
        </is>
      </c>
      <c r="W380" t="inlineStr">
        <is>
          <t>Isla Grande</t>
        </is>
      </c>
      <c r="Y380" t="inlineStr">
        <is>
          <t>Cumbitara</t>
        </is>
      </c>
      <c r="Z380" t="inlineStr">
        <is>
          <t>La Palma</t>
        </is>
      </c>
    </row>
    <row r="381">
      <c r="S381" t="inlineStr">
        <is>
          <t>Pasto</t>
        </is>
      </c>
      <c r="T381" t="inlineStr">
        <is>
          <t>Urb Balcones del Este</t>
        </is>
      </c>
      <c r="V381" t="inlineStr">
        <is>
          <t>San Andrés de Tumaco</t>
        </is>
      </c>
      <c r="W381" t="inlineStr">
        <is>
          <t>Juan Domingo</t>
        </is>
      </c>
      <c r="Y381" t="inlineStr">
        <is>
          <t>Cumbitara</t>
        </is>
      </c>
      <c r="Z381" t="inlineStr">
        <is>
          <t>La Perdiz</t>
        </is>
      </c>
    </row>
    <row r="382">
      <c r="S382" t="inlineStr">
        <is>
          <t>Pasto</t>
        </is>
      </c>
      <c r="T382" t="inlineStr">
        <is>
          <t>Urb Campiña de Oriente</t>
        </is>
      </c>
      <c r="V382" t="inlineStr">
        <is>
          <t>San Andrés de Tumaco</t>
        </is>
      </c>
      <c r="W382" t="inlineStr">
        <is>
          <t>Kilómetro 28</t>
        </is>
      </c>
      <c r="Y382" t="inlineStr">
        <is>
          <t>Cumbitara</t>
        </is>
      </c>
      <c r="Z382" t="inlineStr">
        <is>
          <t>La Sala</t>
        </is>
      </c>
    </row>
    <row r="383">
      <c r="S383" t="inlineStr">
        <is>
          <t>Pasto</t>
        </is>
      </c>
      <c r="T383" t="inlineStr">
        <is>
          <t>Urb Campo Verde</t>
        </is>
      </c>
      <c r="V383" t="inlineStr">
        <is>
          <t>San Andrés de Tumaco</t>
        </is>
      </c>
      <c r="W383" t="inlineStr">
        <is>
          <t>Kilómetro 35</t>
        </is>
      </c>
      <c r="Y383" t="inlineStr">
        <is>
          <t>Cumbitara</t>
        </is>
      </c>
      <c r="Z383" t="inlineStr">
        <is>
          <t>La Tola</t>
        </is>
      </c>
    </row>
    <row r="384">
      <c r="S384" t="inlineStr">
        <is>
          <t>Pasto</t>
        </is>
      </c>
      <c r="T384" t="inlineStr">
        <is>
          <t>Urb Ciudadela Invipaz</t>
        </is>
      </c>
      <c r="V384" t="inlineStr">
        <is>
          <t>San Andrés de Tumaco</t>
        </is>
      </c>
      <c r="W384" t="inlineStr">
        <is>
          <t>Kilómetro 58</t>
        </is>
      </c>
      <c r="Y384" t="inlineStr">
        <is>
          <t>Cumbitara</t>
        </is>
      </c>
      <c r="Z384" t="inlineStr">
        <is>
          <t>Llano Verde</t>
        </is>
      </c>
    </row>
    <row r="385">
      <c r="S385" t="inlineStr">
        <is>
          <t>Pasto</t>
        </is>
      </c>
      <c r="T385" t="inlineStr">
        <is>
          <t>Urb Jardin del Rio</t>
        </is>
      </c>
      <c r="V385" t="inlineStr">
        <is>
          <t>San Andrés de Tumaco</t>
        </is>
      </c>
      <c r="W385" t="inlineStr">
        <is>
          <t>Kilómetro 63</t>
        </is>
      </c>
      <c r="Y385" t="inlineStr">
        <is>
          <t>Cumbitara</t>
        </is>
      </c>
      <c r="Z385" t="inlineStr">
        <is>
          <t>Loma de Arroz</t>
        </is>
      </c>
    </row>
    <row r="386">
      <c r="S386" t="inlineStr">
        <is>
          <t>Pasto</t>
        </is>
      </c>
      <c r="T386" t="inlineStr">
        <is>
          <t>Urb la Merced</t>
        </is>
      </c>
      <c r="V386" t="inlineStr">
        <is>
          <t>San Andrés de Tumaco</t>
        </is>
      </c>
      <c r="W386" t="inlineStr">
        <is>
          <t>Kilómetro 75 la Invasión</t>
        </is>
      </c>
      <c r="Y386" t="inlineStr">
        <is>
          <t>Cumbitara</t>
        </is>
      </c>
      <c r="Z386" t="inlineStr">
        <is>
          <t>Miguel Nulpi</t>
        </is>
      </c>
    </row>
    <row r="387">
      <c r="S387" t="inlineStr">
        <is>
          <t>Pasto</t>
        </is>
      </c>
      <c r="T387" t="inlineStr">
        <is>
          <t>Urb Nueva Sindagua</t>
        </is>
      </c>
      <c r="V387" t="inlineStr">
        <is>
          <t>San Andrés de Tumaco</t>
        </is>
      </c>
      <c r="W387" t="inlineStr">
        <is>
          <t>Kilómetro 88</t>
        </is>
      </c>
      <c r="Y387" t="inlineStr">
        <is>
          <t>Cumbitara</t>
        </is>
      </c>
      <c r="Z387" t="inlineStr">
        <is>
          <t>Monte Alto</t>
        </is>
      </c>
    </row>
    <row r="388">
      <c r="S388" t="inlineStr">
        <is>
          <t>Pasto</t>
        </is>
      </c>
      <c r="T388" t="inlineStr">
        <is>
          <t>Urb Oasis del Este</t>
        </is>
      </c>
      <c r="V388" t="inlineStr">
        <is>
          <t>San Andrés de Tumaco</t>
        </is>
      </c>
      <c r="W388" t="inlineStr">
        <is>
          <t>La Balsa</t>
        </is>
      </c>
      <c r="Y388" t="inlineStr">
        <is>
          <t>Cumbitara</t>
        </is>
      </c>
      <c r="Z388" t="inlineStr">
        <is>
          <t>Palo Grande</t>
        </is>
      </c>
    </row>
    <row r="389">
      <c r="S389" t="inlineStr">
        <is>
          <t>Pasto</t>
        </is>
      </c>
      <c r="T389" t="inlineStr">
        <is>
          <t>Urb San Luis</t>
        </is>
      </c>
      <c r="V389" t="inlineStr">
        <is>
          <t>San Andrés de Tumaco</t>
        </is>
      </c>
      <c r="W389" t="inlineStr">
        <is>
          <t>La Brava Río Caunapí</t>
        </is>
      </c>
      <c r="Y389" t="inlineStr">
        <is>
          <t>Cumbitara</t>
        </is>
      </c>
      <c r="Z389" t="inlineStr">
        <is>
          <t>Pesquera Bajo</t>
        </is>
      </c>
    </row>
    <row r="390">
      <c r="S390" t="inlineStr">
        <is>
          <t>Pasto</t>
        </is>
      </c>
      <c r="T390" t="inlineStr">
        <is>
          <t>Urb San Sebastian</t>
        </is>
      </c>
      <c r="V390" t="inlineStr">
        <is>
          <t>San Andrés de Tumaco</t>
        </is>
      </c>
      <c r="W390" t="inlineStr">
        <is>
          <t>La Chorrera</t>
        </is>
      </c>
      <c r="Y390" t="inlineStr">
        <is>
          <t>Cumbitara</t>
        </is>
      </c>
      <c r="Z390" t="inlineStr">
        <is>
          <t>Pesqueria Alto</t>
        </is>
      </c>
    </row>
    <row r="391">
      <c r="S391" t="inlineStr">
        <is>
          <t>Pasto</t>
        </is>
      </c>
      <c r="T391" t="inlineStr">
        <is>
          <t>Urb Tequendama</t>
        </is>
      </c>
      <c r="V391" t="inlineStr">
        <is>
          <t>San Andrés de Tumaco</t>
        </is>
      </c>
      <c r="W391" t="inlineStr">
        <is>
          <t>La Concha (tablón Salado)</t>
        </is>
      </c>
      <c r="Y391" t="inlineStr">
        <is>
          <t>Cumbitara</t>
        </is>
      </c>
      <c r="Z391" t="inlineStr">
        <is>
          <t>Pisanda</t>
        </is>
      </c>
    </row>
    <row r="392">
      <c r="S392" t="inlineStr">
        <is>
          <t>Pasto</t>
        </is>
      </c>
      <c r="T392" t="inlineStr">
        <is>
          <t>Urb Terrazas del Norte</t>
        </is>
      </c>
      <c r="V392" t="inlineStr">
        <is>
          <t>San Andrés de Tumaco</t>
        </is>
      </c>
      <c r="W392" t="inlineStr">
        <is>
          <t>La Sirena</t>
        </is>
      </c>
      <c r="Y392" t="inlineStr">
        <is>
          <t>Cumbitara</t>
        </is>
      </c>
      <c r="Z392" t="inlineStr">
        <is>
          <t>Punta de Vargas</t>
        </is>
      </c>
    </row>
    <row r="393">
      <c r="S393" t="inlineStr">
        <is>
          <t>Pasto</t>
        </is>
      </c>
      <c r="T393" t="inlineStr">
        <is>
          <t>Urb. Villas de Santa Sofia</t>
        </is>
      </c>
      <c r="V393" t="inlineStr">
        <is>
          <t>San Andrés de Tumaco</t>
        </is>
      </c>
      <c r="W393" t="inlineStr">
        <is>
          <t>La Vega</t>
        </is>
      </c>
      <c r="Y393" t="inlineStr">
        <is>
          <t>Cumbitara</t>
        </is>
      </c>
      <c r="Z393" t="inlineStr">
        <is>
          <t>Roncadora</t>
        </is>
      </c>
    </row>
    <row r="394">
      <c r="S394" t="inlineStr">
        <is>
          <t>Pasto</t>
        </is>
      </c>
      <c r="T394" t="inlineStr">
        <is>
          <t>Valle de Atriz</t>
        </is>
      </c>
      <c r="V394" t="inlineStr">
        <is>
          <t>San Andrés de Tumaco</t>
        </is>
      </c>
      <c r="W394" t="inlineStr">
        <is>
          <t>La Viña</t>
        </is>
      </c>
      <c r="Y394" t="inlineStr">
        <is>
          <t>Cumbitara</t>
        </is>
      </c>
      <c r="Z394" t="inlineStr">
        <is>
          <t>San Agustin</t>
        </is>
      </c>
    </row>
    <row r="395">
      <c r="S395" t="inlineStr">
        <is>
          <t>Pasto</t>
        </is>
      </c>
      <c r="T395" t="inlineStr">
        <is>
          <t>Venecia</t>
        </is>
      </c>
      <c r="V395" t="inlineStr">
        <is>
          <t>San Andrés de Tumaco</t>
        </is>
      </c>
      <c r="W395" t="inlineStr">
        <is>
          <t>Las Brisas</t>
        </is>
      </c>
      <c r="Y395" t="inlineStr">
        <is>
          <t>Cumbitara</t>
        </is>
      </c>
      <c r="Z395" t="inlineStr">
        <is>
          <t>San Antonio</t>
        </is>
      </c>
    </row>
    <row r="396">
      <c r="S396" t="inlineStr">
        <is>
          <t>Pasto</t>
        </is>
      </c>
      <c r="T396" t="inlineStr">
        <is>
          <t>Veracruz</t>
        </is>
      </c>
      <c r="V396" t="inlineStr">
        <is>
          <t>San Andrés de Tumaco</t>
        </is>
      </c>
      <c r="W396" t="inlineStr">
        <is>
          <t>Las Mercedes</t>
        </is>
      </c>
      <c r="Y396" t="inlineStr">
        <is>
          <t>Cumbitara</t>
        </is>
      </c>
      <c r="Z396" t="inlineStr">
        <is>
          <t>San José del Bijao</t>
        </is>
      </c>
    </row>
    <row r="397">
      <c r="S397" t="inlineStr">
        <is>
          <t>Pasto</t>
        </is>
      </c>
      <c r="T397" t="inlineStr">
        <is>
          <t>Versalles</t>
        </is>
      </c>
      <c r="V397" t="inlineStr">
        <is>
          <t>San Andrés de Tumaco</t>
        </is>
      </c>
      <c r="W397" t="inlineStr">
        <is>
          <t>Llorente</t>
        </is>
      </c>
      <c r="Y397" t="inlineStr">
        <is>
          <t>Cumbitara</t>
        </is>
      </c>
      <c r="Z397" t="inlineStr">
        <is>
          <t>San José Taitan</t>
        </is>
      </c>
    </row>
    <row r="398">
      <c r="S398" t="inlineStr">
        <is>
          <t>Pasto</t>
        </is>
      </c>
      <c r="T398" t="inlineStr">
        <is>
          <t>Villa Adriana Maria</t>
        </is>
      </c>
      <c r="V398" t="inlineStr">
        <is>
          <t>San Andrés de Tumaco</t>
        </is>
      </c>
      <c r="W398" t="inlineStr">
        <is>
          <t>Majagua</t>
        </is>
      </c>
      <c r="Y398" t="inlineStr">
        <is>
          <t>Cumbitara</t>
        </is>
      </c>
      <c r="Z398" t="inlineStr">
        <is>
          <t>San Luis</t>
        </is>
      </c>
    </row>
    <row r="399">
      <c r="S399" t="inlineStr">
        <is>
          <t>Pasto</t>
        </is>
      </c>
      <c r="T399" t="inlineStr">
        <is>
          <t>Villa Alejandria</t>
        </is>
      </c>
      <c r="V399" t="inlineStr">
        <is>
          <t>San Andrés de Tumaco</t>
        </is>
      </c>
      <c r="W399" t="inlineStr">
        <is>
          <t>Nerete (río Mira)</t>
        </is>
      </c>
      <c r="Y399" t="inlineStr">
        <is>
          <t>Cumbitara</t>
        </is>
      </c>
      <c r="Z399" t="inlineStr">
        <is>
          <t>San Martin</t>
        </is>
      </c>
    </row>
    <row r="400">
      <c r="S400" t="inlineStr">
        <is>
          <t>Pasto</t>
        </is>
      </c>
      <c r="T400" t="inlineStr">
        <is>
          <t>Villa Angela</t>
        </is>
      </c>
      <c r="V400" t="inlineStr">
        <is>
          <t>San Andrés de Tumaco</t>
        </is>
      </c>
      <c r="W400" t="inlineStr">
        <is>
          <t>Nueva Reforma</t>
        </is>
      </c>
      <c r="Y400" t="inlineStr">
        <is>
          <t>Cumbitara</t>
        </is>
      </c>
      <c r="Z400" t="inlineStr">
        <is>
          <t>San Pablo</t>
        </is>
      </c>
    </row>
    <row r="401">
      <c r="S401" t="inlineStr">
        <is>
          <t>Pasto</t>
        </is>
      </c>
      <c r="T401" t="inlineStr">
        <is>
          <t>Villa Aurora</t>
        </is>
      </c>
      <c r="V401" t="inlineStr">
        <is>
          <t>San Andrés de Tumaco</t>
        </is>
      </c>
      <c r="W401" t="inlineStr">
        <is>
          <t>Nuevo Puerto Nidia</t>
        </is>
      </c>
      <c r="Y401" t="inlineStr">
        <is>
          <t>Cumbitara</t>
        </is>
      </c>
      <c r="Z401" t="inlineStr">
        <is>
          <t>Santa Ana</t>
        </is>
      </c>
    </row>
    <row r="402">
      <c r="S402" t="inlineStr">
        <is>
          <t>Pasto</t>
        </is>
      </c>
      <c r="T402" t="inlineStr">
        <is>
          <t>Villa Campanela</t>
        </is>
      </c>
      <c r="V402" t="inlineStr">
        <is>
          <t>San Andrés de Tumaco</t>
        </is>
      </c>
      <c r="W402" t="inlineStr">
        <is>
          <t>Pácora</t>
        </is>
      </c>
      <c r="Y402" t="inlineStr">
        <is>
          <t>Cumbitara</t>
        </is>
      </c>
      <c r="Z402" t="inlineStr">
        <is>
          <t>Santa Cecilia</t>
        </is>
      </c>
    </row>
    <row r="403">
      <c r="S403" t="inlineStr">
        <is>
          <t>Pasto</t>
        </is>
      </c>
      <c r="T403" t="inlineStr">
        <is>
          <t>Villa Campestre</t>
        </is>
      </c>
      <c r="V403" t="inlineStr">
        <is>
          <t>San Andrés de Tumaco</t>
        </is>
      </c>
      <c r="W403" t="inlineStr">
        <is>
          <t>Palambí</t>
        </is>
      </c>
      <c r="Y403" t="inlineStr">
        <is>
          <t>Cumbitara</t>
        </is>
      </c>
      <c r="Z403" t="inlineStr">
        <is>
          <t>Santa Elena</t>
        </is>
      </c>
    </row>
    <row r="404">
      <c r="S404" t="inlineStr">
        <is>
          <t>Pasto</t>
        </is>
      </c>
      <c r="T404" t="inlineStr">
        <is>
          <t>Villa Colombia</t>
        </is>
      </c>
      <c r="V404" t="inlineStr">
        <is>
          <t>San Andrés de Tumaco</t>
        </is>
      </c>
      <c r="W404" t="inlineStr">
        <is>
          <t>Palay</t>
        </is>
      </c>
      <c r="Y404" t="inlineStr">
        <is>
          <t>Cumbitara</t>
        </is>
      </c>
      <c r="Z404" t="inlineStr">
        <is>
          <t>Santa Marta</t>
        </is>
      </c>
    </row>
    <row r="405">
      <c r="S405" t="inlineStr">
        <is>
          <t>Pasto</t>
        </is>
      </c>
      <c r="T405" t="inlineStr">
        <is>
          <t>Villa de los Andes</t>
        </is>
      </c>
      <c r="V405" t="inlineStr">
        <is>
          <t>San Andrés de Tumaco</t>
        </is>
      </c>
      <c r="W405" t="inlineStr">
        <is>
          <t>Paraíso</t>
        </is>
      </c>
      <c r="Y405" t="inlineStr">
        <is>
          <t>Cumbitara</t>
        </is>
      </c>
      <c r="Z405" t="inlineStr">
        <is>
          <t>Santa Rosa</t>
        </is>
      </c>
    </row>
    <row r="406">
      <c r="S406" t="inlineStr">
        <is>
          <t>Pasto</t>
        </is>
      </c>
      <c r="T406" t="inlineStr">
        <is>
          <t>Villa de los Rios</t>
        </is>
      </c>
      <c r="V406" t="inlineStr">
        <is>
          <t>San Andrés de Tumaco</t>
        </is>
      </c>
      <c r="W406" t="inlineStr">
        <is>
          <t>Peña Alegria</t>
        </is>
      </c>
      <c r="Y406" t="inlineStr">
        <is>
          <t>Cumbitara</t>
        </is>
      </c>
      <c r="Z406" t="inlineStr">
        <is>
          <t>Sidon</t>
        </is>
      </c>
    </row>
    <row r="407">
      <c r="S407" t="inlineStr">
        <is>
          <t>Pasto</t>
        </is>
      </c>
      <c r="T407" t="inlineStr">
        <is>
          <t>Villa de San Rafael</t>
        </is>
      </c>
      <c r="V407" t="inlineStr">
        <is>
          <t>San Andrés de Tumaco</t>
        </is>
      </c>
      <c r="W407" t="inlineStr">
        <is>
          <t>Peña Colorada</t>
        </is>
      </c>
      <c r="Y407" t="inlineStr">
        <is>
          <t>Cumbitara</t>
        </is>
      </c>
      <c r="Z407" t="inlineStr">
        <is>
          <t>Tabiles</t>
        </is>
      </c>
    </row>
    <row r="408">
      <c r="S408" t="inlineStr">
        <is>
          <t>Pasto</t>
        </is>
      </c>
      <c r="T408" t="inlineStr">
        <is>
          <t>Villa del Prado</t>
        </is>
      </c>
      <c r="V408" t="inlineStr">
        <is>
          <t>San Andrés de Tumaco</t>
        </is>
      </c>
      <c r="W408" t="inlineStr">
        <is>
          <t>Piñal Dulce</t>
        </is>
      </c>
      <c r="Y408" t="inlineStr">
        <is>
          <t>Cumbitara</t>
        </is>
      </c>
      <c r="Z408" t="inlineStr">
        <is>
          <t>Yanazara</t>
        </is>
      </c>
    </row>
    <row r="409">
      <c r="S409" t="inlineStr">
        <is>
          <t>Pasto</t>
        </is>
      </c>
      <c r="T409" t="inlineStr">
        <is>
          <t>Villa del Rio</t>
        </is>
      </c>
      <c r="V409" t="inlineStr">
        <is>
          <t>San Andrés de Tumaco</t>
        </is>
      </c>
      <c r="W409" t="inlineStr">
        <is>
          <t>Piñal Salado</t>
        </is>
      </c>
      <c r="Y409" t="inlineStr">
        <is>
          <t>El Charco</t>
        </is>
      </c>
      <c r="Z409" t="inlineStr">
        <is>
          <t>Aguacatal</t>
        </is>
      </c>
    </row>
    <row r="410">
      <c r="S410" t="inlineStr">
        <is>
          <t>Pasto</t>
        </is>
      </c>
      <c r="T410" t="inlineStr">
        <is>
          <t>Villa Docente</t>
        </is>
      </c>
      <c r="V410" t="inlineStr">
        <is>
          <t>San Andrés de Tumaco</t>
        </is>
      </c>
      <c r="W410" t="inlineStr">
        <is>
          <t>Pindales</t>
        </is>
      </c>
      <c r="Y410" t="inlineStr">
        <is>
          <t>El Charco</t>
        </is>
      </c>
      <c r="Z410" t="inlineStr">
        <is>
          <t>Alteron</t>
        </is>
      </c>
    </row>
    <row r="411">
      <c r="S411" t="inlineStr">
        <is>
          <t>Pasto</t>
        </is>
      </c>
      <c r="T411" t="inlineStr">
        <is>
          <t>Villa Elena</t>
        </is>
      </c>
      <c r="V411" t="inlineStr">
        <is>
          <t>San Andrés de Tumaco</t>
        </is>
      </c>
      <c r="W411" t="inlineStr">
        <is>
          <t>Piñuela Río Mira</t>
        </is>
      </c>
      <c r="Y411" t="inlineStr">
        <is>
          <t>El Charco</t>
        </is>
      </c>
      <c r="Z411" t="inlineStr">
        <is>
          <t>Barbara</t>
        </is>
      </c>
    </row>
    <row r="412">
      <c r="S412" t="inlineStr">
        <is>
          <t>Pasto</t>
        </is>
      </c>
      <c r="T412" t="inlineStr">
        <is>
          <t>Villa Flor I</t>
        </is>
      </c>
      <c r="V412" t="inlineStr">
        <is>
          <t>San Andrés de Tumaco</t>
        </is>
      </c>
      <c r="W412" t="inlineStr">
        <is>
          <t>Pital</t>
        </is>
      </c>
      <c r="Y412" t="inlineStr">
        <is>
          <t>El Charco</t>
        </is>
      </c>
      <c r="Z412" t="inlineStr">
        <is>
          <t>Cabecitas</t>
        </is>
      </c>
    </row>
    <row r="413">
      <c r="S413" t="inlineStr">
        <is>
          <t>Pasto</t>
        </is>
      </c>
      <c r="T413" t="inlineStr">
        <is>
          <t>Villa Flor Ii</t>
        </is>
      </c>
      <c r="V413" t="inlineStr">
        <is>
          <t>San Andrés de Tumaco</t>
        </is>
      </c>
      <c r="W413" t="inlineStr">
        <is>
          <t>Pital (chimbuzal)</t>
        </is>
      </c>
      <c r="Y413" t="inlineStr">
        <is>
          <t>El Charco</t>
        </is>
      </c>
      <c r="Z413" t="inlineStr">
        <is>
          <t>Cachiri</t>
        </is>
      </c>
    </row>
    <row r="414">
      <c r="S414" t="inlineStr">
        <is>
          <t>Pasto</t>
        </is>
      </c>
      <c r="T414" t="inlineStr">
        <is>
          <t>Villa Guerrero</t>
        </is>
      </c>
      <c r="V414" t="inlineStr">
        <is>
          <t>San Andrés de Tumaco</t>
        </is>
      </c>
      <c r="W414" t="inlineStr">
        <is>
          <t>Porvenir</t>
        </is>
      </c>
      <c r="Y414" t="inlineStr">
        <is>
          <t>El Charco</t>
        </is>
      </c>
      <c r="Z414" t="inlineStr">
        <is>
          <t>El Brazo</t>
        </is>
      </c>
    </row>
    <row r="415">
      <c r="S415" t="inlineStr">
        <is>
          <t>Pasto</t>
        </is>
      </c>
      <c r="T415" t="inlineStr">
        <is>
          <t>Villa Jazmin</t>
        </is>
      </c>
      <c r="V415" t="inlineStr">
        <is>
          <t>San Andrés de Tumaco</t>
        </is>
      </c>
      <c r="W415" t="inlineStr">
        <is>
          <t>Pueblo Nuevo</t>
        </is>
      </c>
      <c r="Y415" t="inlineStr">
        <is>
          <t>El Charco</t>
        </is>
      </c>
      <c r="Z415" t="inlineStr">
        <is>
          <t>El Hojal</t>
        </is>
      </c>
    </row>
    <row r="416">
      <c r="S416" t="inlineStr">
        <is>
          <t>Pasto</t>
        </is>
      </c>
      <c r="T416" t="inlineStr">
        <is>
          <t>Villa las Lajas</t>
        </is>
      </c>
      <c r="V416" t="inlineStr">
        <is>
          <t>San Andrés de Tumaco</t>
        </is>
      </c>
      <c r="W416" t="inlineStr">
        <is>
          <t>Pueblo Nuevo (río Mira)</t>
        </is>
      </c>
      <c r="Y416" t="inlineStr">
        <is>
          <t>El Charco</t>
        </is>
      </c>
      <c r="Z416" t="inlineStr">
        <is>
          <t>El Morrito</t>
        </is>
      </c>
    </row>
    <row r="417">
      <c r="S417" t="inlineStr">
        <is>
          <t>Pasto</t>
        </is>
      </c>
      <c r="T417" t="inlineStr">
        <is>
          <t>Villa Lucciana</t>
        </is>
      </c>
      <c r="V417" t="inlineStr">
        <is>
          <t>San Andrés de Tumaco</t>
        </is>
      </c>
      <c r="W417" t="inlineStr">
        <is>
          <t>Pueblo Nuevo (tablón Salado)</t>
        </is>
      </c>
      <c r="Y417" t="inlineStr">
        <is>
          <t>El Charco</t>
        </is>
      </c>
      <c r="Z417" t="inlineStr">
        <is>
          <t>El Ojal</t>
        </is>
      </c>
    </row>
    <row r="418">
      <c r="S418" t="inlineStr">
        <is>
          <t>Pasto</t>
        </is>
      </c>
      <c r="T418" t="inlineStr">
        <is>
          <t>Villa Lucia</t>
        </is>
      </c>
      <c r="V418" t="inlineStr">
        <is>
          <t>San Andrés de Tumaco</t>
        </is>
      </c>
      <c r="W418" t="inlineStr">
        <is>
          <t>Pulgande</t>
        </is>
      </c>
      <c r="Y418" t="inlineStr">
        <is>
          <t>El Charco</t>
        </is>
      </c>
      <c r="Z418" t="inlineStr">
        <is>
          <t>El Palo</t>
        </is>
      </c>
    </row>
    <row r="419">
      <c r="S419" t="inlineStr">
        <is>
          <t>Pasto</t>
        </is>
      </c>
      <c r="T419" t="inlineStr">
        <is>
          <t>Villa Nueva</t>
        </is>
      </c>
      <c r="V419" t="inlineStr">
        <is>
          <t>San Andrés de Tumaco</t>
        </is>
      </c>
      <c r="W419" t="inlineStr">
        <is>
          <t>Restrepo</t>
        </is>
      </c>
      <c r="Y419" t="inlineStr">
        <is>
          <t>El Charco</t>
        </is>
      </c>
      <c r="Z419" t="inlineStr">
        <is>
          <t>El Ploital</t>
        </is>
      </c>
    </row>
    <row r="420">
      <c r="S420" t="inlineStr">
        <is>
          <t>Pasto</t>
        </is>
      </c>
      <c r="T420" t="inlineStr">
        <is>
          <t>Villa Nueva de Aranda</t>
        </is>
      </c>
      <c r="V420" t="inlineStr">
        <is>
          <t>San Andrés de Tumaco</t>
        </is>
      </c>
      <c r="W420" t="inlineStr">
        <is>
          <t>Retoño</t>
        </is>
      </c>
      <c r="Y420" t="inlineStr">
        <is>
          <t>El Charco</t>
        </is>
      </c>
      <c r="Z420" t="inlineStr">
        <is>
          <t>El Tapon</t>
        </is>
      </c>
    </row>
    <row r="421">
      <c r="S421" t="inlineStr">
        <is>
          <t>Pasto</t>
        </is>
      </c>
      <c r="T421" t="inlineStr">
        <is>
          <t>Villa Olimpica</t>
        </is>
      </c>
      <c r="V421" t="inlineStr">
        <is>
          <t>San Andrés de Tumaco</t>
        </is>
      </c>
      <c r="W421" t="inlineStr">
        <is>
          <t>Sagumbita</t>
        </is>
      </c>
      <c r="Y421" t="inlineStr">
        <is>
          <t>El Charco</t>
        </is>
      </c>
      <c r="Z421" t="inlineStr">
        <is>
          <t>Esmeralda</t>
        </is>
      </c>
    </row>
    <row r="422">
      <c r="S422" t="inlineStr">
        <is>
          <t>Pasto</t>
        </is>
      </c>
      <c r="T422" t="inlineStr">
        <is>
          <t>Villa Recreo I</t>
        </is>
      </c>
      <c r="V422" t="inlineStr">
        <is>
          <t>San Andrés de Tumaco</t>
        </is>
      </c>
      <c r="W422" t="inlineStr">
        <is>
          <t>Salisví</t>
        </is>
      </c>
      <c r="Y422" t="inlineStr">
        <is>
          <t>El Charco</t>
        </is>
      </c>
      <c r="Z422" t="inlineStr">
        <is>
          <t>Feinicia</t>
        </is>
      </c>
    </row>
    <row r="423">
      <c r="S423" t="inlineStr">
        <is>
          <t>Pasto</t>
        </is>
      </c>
      <c r="T423" t="inlineStr">
        <is>
          <t>Villa Recreo Ii</t>
        </is>
      </c>
      <c r="V423" t="inlineStr">
        <is>
          <t>San Andrés de Tumaco</t>
        </is>
      </c>
      <c r="W423" t="inlineStr">
        <is>
          <t>San Agustín</t>
        </is>
      </c>
      <c r="Y423" t="inlineStr">
        <is>
          <t>El Charco</t>
        </is>
      </c>
      <c r="Z423" t="inlineStr">
        <is>
          <t>Isla Larga</t>
        </is>
      </c>
    </row>
    <row r="424">
      <c r="S424" t="inlineStr">
        <is>
          <t>Pasto</t>
        </is>
      </c>
      <c r="T424" t="inlineStr">
        <is>
          <t>Villa Recreo Iii</t>
        </is>
      </c>
      <c r="V424" t="inlineStr">
        <is>
          <t>San Andrés de Tumaco</t>
        </is>
      </c>
      <c r="W424" t="inlineStr">
        <is>
          <t>San Antonio</t>
        </is>
      </c>
      <c r="Y424" t="inlineStr">
        <is>
          <t>El Charco</t>
        </is>
      </c>
      <c r="Z424" t="inlineStr">
        <is>
          <t>Jorge Eliecer Gaitan</t>
        </is>
      </c>
    </row>
    <row r="425">
      <c r="S425" t="inlineStr">
        <is>
          <t>Pasto</t>
        </is>
      </c>
      <c r="T425" t="inlineStr">
        <is>
          <t>Villa Recreo Iv Sector Alto</t>
        </is>
      </c>
      <c r="V425" t="inlineStr">
        <is>
          <t>San Andrés de Tumaco</t>
        </is>
      </c>
      <c r="W425" t="inlineStr">
        <is>
          <t>San José del Guayabo</t>
        </is>
      </c>
      <c r="Y425" t="inlineStr">
        <is>
          <t>El Charco</t>
        </is>
      </c>
      <c r="Z425" t="inlineStr">
        <is>
          <t>La Bartola</t>
        </is>
      </c>
    </row>
    <row r="426">
      <c r="S426" t="inlineStr">
        <is>
          <t>Pasto</t>
        </is>
      </c>
      <c r="T426" t="inlineStr">
        <is>
          <t>Villa Sofia</t>
        </is>
      </c>
      <c r="V426" t="inlineStr">
        <is>
          <t>San Andrés de Tumaco</t>
        </is>
      </c>
      <c r="W426" t="inlineStr">
        <is>
          <t>San Juan (río Mira)</t>
        </is>
      </c>
      <c r="Y426" t="inlineStr">
        <is>
          <t>El Charco</t>
        </is>
      </c>
      <c r="Z426" t="inlineStr">
        <is>
          <t>La Capilla</t>
        </is>
      </c>
    </row>
    <row r="427">
      <c r="S427" t="inlineStr">
        <is>
          <t>Pasto</t>
        </is>
      </c>
      <c r="T427" t="inlineStr">
        <is>
          <t>Villa Vergel</t>
        </is>
      </c>
      <c r="V427" t="inlineStr">
        <is>
          <t>San Andrés de Tumaco</t>
        </is>
      </c>
      <c r="W427" t="inlineStr">
        <is>
          <t>San Juan Pueblo Nuevo</t>
        </is>
      </c>
      <c r="Y427" t="inlineStr">
        <is>
          <t>El Charco</t>
        </is>
      </c>
      <c r="Z427" t="inlineStr">
        <is>
          <t>La Isla</t>
        </is>
      </c>
    </row>
    <row r="428">
      <c r="S428" t="inlineStr">
        <is>
          <t>Pasto</t>
        </is>
      </c>
      <c r="T428" t="inlineStr">
        <is>
          <t>Villa Vergel I</t>
        </is>
      </c>
      <c r="V428" t="inlineStr">
        <is>
          <t>San Andrés de Tumaco</t>
        </is>
      </c>
      <c r="W428" t="inlineStr">
        <is>
          <t>San Luis Robles</t>
        </is>
      </c>
      <c r="Y428" t="inlineStr">
        <is>
          <t>El Charco</t>
        </is>
      </c>
      <c r="Z428" t="inlineStr">
        <is>
          <t>La Pampa</t>
        </is>
      </c>
    </row>
    <row r="429">
      <c r="S429" t="inlineStr">
        <is>
          <t>Pasto</t>
        </is>
      </c>
      <c r="T429" t="inlineStr">
        <is>
          <t>Villa Vergel Ii</t>
        </is>
      </c>
      <c r="V429" t="inlineStr">
        <is>
          <t>San Andrés de Tumaco</t>
        </is>
      </c>
      <c r="W429" t="inlineStr">
        <is>
          <t>San Pablo</t>
        </is>
      </c>
      <c r="Y429" t="inlineStr">
        <is>
          <t>El Charco</t>
        </is>
      </c>
      <c r="Z429" t="inlineStr">
        <is>
          <t>La Piedra</t>
        </is>
      </c>
    </row>
    <row r="430">
      <c r="S430" t="inlineStr">
        <is>
          <t>Pasto</t>
        </is>
      </c>
      <c r="T430" t="inlineStr">
        <is>
          <t>Villa Victoria</t>
        </is>
      </c>
      <c r="V430" t="inlineStr">
        <is>
          <t>San Andrés de Tumaco</t>
        </is>
      </c>
      <c r="W430" t="inlineStr">
        <is>
          <t>San Pedro del Vino</t>
        </is>
      </c>
      <c r="Y430" t="inlineStr">
        <is>
          <t>El Charco</t>
        </is>
      </c>
      <c r="Z430" t="inlineStr">
        <is>
          <t>La Vuelta el Mero</t>
        </is>
      </c>
    </row>
    <row r="431">
      <c r="S431" t="inlineStr">
        <is>
          <t>Pasto</t>
        </is>
      </c>
      <c r="T431" t="inlineStr">
        <is>
          <t>Villas del Norte</t>
        </is>
      </c>
      <c r="V431" t="inlineStr">
        <is>
          <t>San Andrés de Tumaco</t>
        </is>
      </c>
      <c r="W431" t="inlineStr">
        <is>
          <t>San Sebastián</t>
        </is>
      </c>
      <c r="Y431" t="inlineStr">
        <is>
          <t>El Charco</t>
        </is>
      </c>
      <c r="Z431" t="inlineStr">
        <is>
          <t>Lomon</t>
        </is>
      </c>
    </row>
    <row r="432">
      <c r="S432" t="inlineStr">
        <is>
          <t>Pasto</t>
        </is>
      </c>
      <c r="T432" t="inlineStr">
        <is>
          <t>Villas del Rosario</t>
        </is>
      </c>
      <c r="V432" t="inlineStr">
        <is>
          <t>San Andrés de Tumaco</t>
        </is>
      </c>
      <c r="W432" t="inlineStr">
        <is>
          <t>San Vicente (las Varas)</t>
        </is>
      </c>
      <c r="Y432" t="inlineStr">
        <is>
          <t>El Charco</t>
        </is>
      </c>
      <c r="Z432" t="inlineStr">
        <is>
          <t>Los Gongoras</t>
        </is>
      </c>
    </row>
    <row r="433">
      <c r="S433" t="inlineStr">
        <is>
          <t>Pasto</t>
        </is>
      </c>
      <c r="T433" t="inlineStr">
        <is>
          <t>Villas del Sol</t>
        </is>
      </c>
      <c r="V433" t="inlineStr">
        <is>
          <t>San Andrés de Tumaco</t>
        </is>
      </c>
      <c r="W433" t="inlineStr">
        <is>
          <t>Santa María Rosario</t>
        </is>
      </c>
      <c r="Y433" t="inlineStr">
        <is>
          <t>El Charco</t>
        </is>
      </c>
      <c r="Z433" t="inlineStr">
        <is>
          <t>Maria Magdalena</t>
        </is>
      </c>
    </row>
    <row r="434">
      <c r="S434" t="inlineStr">
        <is>
          <t>Pasto</t>
        </is>
      </c>
      <c r="T434" t="inlineStr">
        <is>
          <t>Villas del Viento</t>
        </is>
      </c>
      <c r="V434" t="inlineStr">
        <is>
          <t>San Andrés de Tumaco</t>
        </is>
      </c>
      <c r="W434" t="inlineStr">
        <is>
          <t>Santa Rosa</t>
        </is>
      </c>
      <c r="Y434" t="inlineStr">
        <is>
          <t>El Charco</t>
        </is>
      </c>
      <c r="Z434" t="inlineStr">
        <is>
          <t>Minas</t>
        </is>
      </c>
    </row>
    <row r="435">
      <c r="S435" t="inlineStr">
        <is>
          <t>Pasto</t>
        </is>
      </c>
      <c r="T435" t="inlineStr">
        <is>
          <t>Vivienda Cristiana</t>
        </is>
      </c>
      <c r="V435" t="inlineStr">
        <is>
          <t>San Andrés de Tumaco</t>
        </is>
      </c>
      <c r="W435" t="inlineStr">
        <is>
          <t>Seis de Agosto</t>
        </is>
      </c>
      <c r="Y435" t="inlineStr">
        <is>
          <t>El Charco</t>
        </is>
      </c>
      <c r="Z435" t="inlineStr">
        <is>
          <t>Montaña Negra</t>
        </is>
      </c>
    </row>
    <row r="436">
      <c r="V436" t="inlineStr">
        <is>
          <t>San Andrés de Tumaco</t>
        </is>
      </c>
      <c r="W436" t="inlineStr">
        <is>
          <t>Tablón Dulce la Pampa</t>
        </is>
      </c>
      <c r="Y436" t="inlineStr">
        <is>
          <t>El Charco</t>
        </is>
      </c>
      <c r="Z436" t="inlineStr">
        <is>
          <t>Monte Alto</t>
        </is>
      </c>
    </row>
    <row r="437">
      <c r="V437" t="inlineStr">
        <is>
          <t>San Andrés de Tumaco</t>
        </is>
      </c>
      <c r="W437" t="inlineStr">
        <is>
          <t>Tambillo</t>
        </is>
      </c>
      <c r="Y437" t="inlineStr">
        <is>
          <t>El Charco</t>
        </is>
      </c>
      <c r="Z437" t="inlineStr">
        <is>
          <t>Nariño</t>
        </is>
      </c>
    </row>
    <row r="438">
      <c r="V438" t="inlineStr">
        <is>
          <t>San Andrés de Tumaco</t>
        </is>
      </c>
      <c r="W438" t="inlineStr">
        <is>
          <t>Tangareal Carretera</t>
        </is>
      </c>
      <c r="Y438" t="inlineStr">
        <is>
          <t>El Charco</t>
        </is>
      </c>
      <c r="Z438" t="inlineStr">
        <is>
          <t>Parcelación Termales</t>
        </is>
      </c>
    </row>
    <row r="439">
      <c r="V439" t="inlineStr">
        <is>
          <t>San Andrés de Tumaco</t>
        </is>
      </c>
      <c r="W439" t="inlineStr">
        <is>
          <t>Tangareal del Mira</t>
        </is>
      </c>
      <c r="Y439" t="inlineStr">
        <is>
          <t>El Charco</t>
        </is>
      </c>
      <c r="Z439" t="inlineStr">
        <is>
          <t>Pasacorriendo</t>
        </is>
      </c>
    </row>
    <row r="440">
      <c r="V440" t="inlineStr">
        <is>
          <t>San Andrés de Tumaco</t>
        </is>
      </c>
      <c r="W440" t="inlineStr">
        <is>
          <t>Teheran</t>
        </is>
      </c>
      <c r="Y440" t="inlineStr">
        <is>
          <t>El Charco</t>
        </is>
      </c>
      <c r="Z440" t="inlineStr">
        <is>
          <t>Patiño</t>
        </is>
      </c>
    </row>
    <row r="441">
      <c r="V441" t="inlineStr">
        <is>
          <t>San Andrés de Tumaco</t>
        </is>
      </c>
      <c r="W441" t="inlineStr">
        <is>
          <t>Uribe Uribe (chilvi)</t>
        </is>
      </c>
      <c r="Y441" t="inlineStr">
        <is>
          <t>El Charco</t>
        </is>
      </c>
      <c r="Z441" t="inlineStr">
        <is>
          <t>Perolindo</t>
        </is>
      </c>
    </row>
    <row r="442">
      <c r="V442" t="inlineStr">
        <is>
          <t>San Andrés de Tumaco</t>
        </is>
      </c>
      <c r="W442" t="inlineStr">
        <is>
          <t>Vaqueria Colombia Grande</t>
        </is>
      </c>
      <c r="Y442" t="inlineStr">
        <is>
          <t>El Charco</t>
        </is>
      </c>
      <c r="Z442" t="inlineStr">
        <is>
          <t>Piusbi</t>
        </is>
      </c>
    </row>
    <row r="443">
      <c r="V443" t="inlineStr">
        <is>
          <t>San Andrés de Tumaco</t>
        </is>
      </c>
      <c r="W443" t="inlineStr">
        <is>
          <t>Vaquería la Torre</t>
        </is>
      </c>
      <c r="Y443" t="inlineStr">
        <is>
          <t>El Charco</t>
        </is>
      </c>
      <c r="Z443" t="inlineStr">
        <is>
          <t>Playa Grande</t>
        </is>
      </c>
    </row>
    <row r="444">
      <c r="V444" t="inlineStr">
        <is>
          <t>San Andrés de Tumaco</t>
        </is>
      </c>
      <c r="W444" t="inlineStr">
        <is>
          <t>Variante</t>
        </is>
      </c>
      <c r="Y444" t="inlineStr">
        <is>
          <t>El Charco</t>
        </is>
      </c>
      <c r="Z444" t="inlineStr">
        <is>
          <t>Puerto Tejada</t>
        </is>
      </c>
    </row>
    <row r="445">
      <c r="V445" t="inlineStr">
        <is>
          <t>San Andrés de Tumaco</t>
        </is>
      </c>
      <c r="W445" t="inlineStr">
        <is>
          <t>Viguaral</t>
        </is>
      </c>
      <c r="Y445" t="inlineStr">
        <is>
          <t>El Charco</t>
        </is>
      </c>
      <c r="Z445" t="inlineStr">
        <is>
          <t>Rio Blanco</t>
        </is>
      </c>
    </row>
    <row r="446">
      <c r="V446" t="inlineStr">
        <is>
          <t>San Andrés de Tumaco</t>
        </is>
      </c>
      <c r="W446" t="inlineStr">
        <is>
          <t>Villa San Juan</t>
        </is>
      </c>
      <c r="Y446" t="inlineStr">
        <is>
          <t>El Charco</t>
        </is>
      </c>
      <c r="Z446" t="inlineStr">
        <is>
          <t>Sabana Grande</t>
        </is>
      </c>
    </row>
    <row r="447">
      <c r="V447" t="inlineStr">
        <is>
          <t>San Andrés de Tumaco</t>
        </is>
      </c>
      <c r="W447" t="inlineStr">
        <is>
          <t>Vuelta Candelilla</t>
        </is>
      </c>
      <c r="Y447" t="inlineStr">
        <is>
          <t>El Charco</t>
        </is>
      </c>
      <c r="Z447" t="inlineStr">
        <is>
          <t>San Francisco</t>
        </is>
      </c>
    </row>
    <row r="448">
      <c r="V448" t="inlineStr">
        <is>
          <t>San Andrés de Tumaco</t>
        </is>
      </c>
      <c r="W448" t="inlineStr">
        <is>
          <t>Vuelta Candelillas 2</t>
        </is>
      </c>
      <c r="Y448" t="inlineStr">
        <is>
          <t>El Charco</t>
        </is>
      </c>
      <c r="Z448" t="inlineStr">
        <is>
          <t>San Pablo</t>
        </is>
      </c>
    </row>
    <row r="449">
      <c r="V449" t="inlineStr">
        <is>
          <t>San Andrés de Tumaco</t>
        </is>
      </c>
      <c r="W449" t="inlineStr">
        <is>
          <t>Vuelta del Carmen</t>
        </is>
      </c>
      <c r="Y449" t="inlineStr">
        <is>
          <t>El Charco</t>
        </is>
      </c>
      <c r="Z449" t="inlineStr">
        <is>
          <t>San Salvador</t>
        </is>
      </c>
    </row>
    <row r="450">
      <c r="V450" t="inlineStr">
        <is>
          <t>San Andrés de Tumaco</t>
        </is>
      </c>
      <c r="W450" t="inlineStr">
        <is>
          <t>Vuelta Larga (río Guanapi)</t>
        </is>
      </c>
      <c r="Y450" t="inlineStr">
        <is>
          <t>El Charco</t>
        </is>
      </c>
      <c r="Z450" t="inlineStr">
        <is>
          <t>Santa Lucia</t>
        </is>
      </c>
    </row>
    <row r="451">
      <c r="V451" t="inlineStr">
        <is>
          <t>San Andrés de Tumaco</t>
        </is>
      </c>
      <c r="W451" t="inlineStr">
        <is>
          <t>Zapotal</t>
        </is>
      </c>
      <c r="Y451" t="inlineStr">
        <is>
          <t>El Charco</t>
        </is>
      </c>
      <c r="Z451" t="inlineStr">
        <is>
          <t>Sin Informacion</t>
        </is>
      </c>
    </row>
    <row r="452">
      <c r="V452" t="inlineStr">
        <is>
          <t>San Bernardo</t>
        </is>
      </c>
      <c r="W452" t="inlineStr">
        <is>
          <t>La Vega</t>
        </is>
      </c>
      <c r="Y452" t="inlineStr">
        <is>
          <t>El Charco</t>
        </is>
      </c>
      <c r="Z452" t="inlineStr">
        <is>
          <t>Sopo</t>
        </is>
      </c>
    </row>
    <row r="453">
      <c r="V453" t="inlineStr">
        <is>
          <t>San Bernardo</t>
        </is>
      </c>
      <c r="W453" t="inlineStr">
        <is>
          <t>Pueblo Viejo</t>
        </is>
      </c>
      <c r="Y453" t="inlineStr">
        <is>
          <t>El Charco</t>
        </is>
      </c>
      <c r="Z453" t="inlineStr">
        <is>
          <t>Sotaquirá</t>
        </is>
      </c>
    </row>
    <row r="454">
      <c r="V454" t="inlineStr">
        <is>
          <t>San Lorenzo</t>
        </is>
      </c>
      <c r="W454" t="inlineStr">
        <is>
          <t>El Carmen</t>
        </is>
      </c>
      <c r="Y454" t="inlineStr">
        <is>
          <t>El Charco</t>
        </is>
      </c>
      <c r="Z454" t="inlineStr">
        <is>
          <t>Tablon de Tamara</t>
        </is>
      </c>
    </row>
    <row r="455">
      <c r="V455" t="inlineStr">
        <is>
          <t>San Lorenzo</t>
        </is>
      </c>
      <c r="W455" t="inlineStr">
        <is>
          <t>El Chepe</t>
        </is>
      </c>
      <c r="Y455" t="inlineStr">
        <is>
          <t>El Charco</t>
        </is>
      </c>
      <c r="Z455" t="inlineStr">
        <is>
          <t>Taminango</t>
        </is>
      </c>
    </row>
    <row r="456">
      <c r="V456" t="inlineStr">
        <is>
          <t>San Lorenzo</t>
        </is>
      </c>
      <c r="W456" t="inlineStr">
        <is>
          <t>San Vicente</t>
        </is>
      </c>
      <c r="Y456" t="inlineStr">
        <is>
          <t>El Charco</t>
        </is>
      </c>
      <c r="Z456" t="inlineStr">
        <is>
          <t>Tasco</t>
        </is>
      </c>
    </row>
    <row r="457">
      <c r="V457" t="inlineStr">
        <is>
          <t>San Lorenzo</t>
        </is>
      </c>
      <c r="W457" t="inlineStr">
        <is>
          <t>Santa Cecilia</t>
        </is>
      </c>
      <c r="Y457" t="inlineStr">
        <is>
          <t>El Peñol</t>
        </is>
      </c>
      <c r="Z457" t="inlineStr">
        <is>
          <t>Aguada</t>
        </is>
      </c>
    </row>
    <row r="458">
      <c r="V458" t="inlineStr">
        <is>
          <t>San Lorenzo</t>
        </is>
      </c>
      <c r="W458" t="inlineStr">
        <is>
          <t>Santa Martha</t>
        </is>
      </c>
      <c r="Y458" t="inlineStr">
        <is>
          <t>El Peñol</t>
        </is>
      </c>
      <c r="Z458" t="inlineStr">
        <is>
          <t>Alto Peñol</t>
        </is>
      </c>
    </row>
    <row r="459">
      <c r="V459" t="inlineStr">
        <is>
          <t>San Pablo</t>
        </is>
      </c>
      <c r="W459" t="inlineStr">
        <is>
          <t>Briceño</t>
        </is>
      </c>
      <c r="Y459" t="inlineStr">
        <is>
          <t>El Peñol</t>
        </is>
      </c>
      <c r="Z459" t="inlineStr">
        <is>
          <t>Alto San Francisco</t>
        </is>
      </c>
    </row>
    <row r="460">
      <c r="V460" t="inlineStr">
        <is>
          <t>San Pablo</t>
        </is>
      </c>
      <c r="W460" t="inlineStr">
        <is>
          <t>Chilcal Alto</t>
        </is>
      </c>
      <c r="Y460" t="inlineStr">
        <is>
          <t>El Peñol</t>
        </is>
      </c>
      <c r="Z460" t="inlineStr">
        <is>
          <t>Banao</t>
        </is>
      </c>
    </row>
    <row r="461">
      <c r="V461" t="inlineStr">
        <is>
          <t>San Pablo</t>
        </is>
      </c>
      <c r="W461" t="inlineStr">
        <is>
          <t>La Cañada</t>
        </is>
      </c>
      <c r="Y461" t="inlineStr">
        <is>
          <t>El Peñol</t>
        </is>
      </c>
      <c r="Z461" t="inlineStr">
        <is>
          <t>Cajabamba</t>
        </is>
      </c>
    </row>
    <row r="462">
      <c r="V462" t="inlineStr">
        <is>
          <t>San Pedro de Cartago</t>
        </is>
      </c>
      <c r="W462" t="inlineStr">
        <is>
          <t>La Comunidad</t>
        </is>
      </c>
      <c r="Y462" t="inlineStr">
        <is>
          <t>El Peñol</t>
        </is>
      </c>
      <c r="Z462" t="inlineStr">
        <is>
          <t>Charguayaco</t>
        </is>
      </c>
    </row>
    <row r="463">
      <c r="V463" t="inlineStr">
        <is>
          <t>Sandoná</t>
        </is>
      </c>
      <c r="W463" t="inlineStr">
        <is>
          <t>Altamira Cruz de Arada</t>
        </is>
      </c>
      <c r="Y463" t="inlineStr">
        <is>
          <t>El Peñol</t>
        </is>
      </c>
      <c r="Z463" t="inlineStr">
        <is>
          <t>El Rincón</t>
        </is>
      </c>
    </row>
    <row r="464">
      <c r="V464" t="inlineStr">
        <is>
          <t>Sandoná</t>
        </is>
      </c>
      <c r="W464" t="inlineStr">
        <is>
          <t>Bolívar</t>
        </is>
      </c>
      <c r="Y464" t="inlineStr">
        <is>
          <t>El Peñol</t>
        </is>
      </c>
      <c r="Z464" t="inlineStr">
        <is>
          <t>Guambanga</t>
        </is>
      </c>
    </row>
    <row r="465">
      <c r="V465" t="inlineStr">
        <is>
          <t>Sandoná</t>
        </is>
      </c>
      <c r="W465" t="inlineStr">
        <is>
          <t>Chávez</t>
        </is>
      </c>
      <c r="Y465" t="inlineStr">
        <is>
          <t>El Peñol</t>
        </is>
      </c>
      <c r="Z465" t="inlineStr">
        <is>
          <t>Guayabal</t>
        </is>
      </c>
    </row>
    <row r="466">
      <c r="V466" t="inlineStr">
        <is>
          <t>Sandoná</t>
        </is>
      </c>
      <c r="W466" t="inlineStr">
        <is>
          <t>El Ingenio</t>
        </is>
      </c>
      <c r="Y466" t="inlineStr">
        <is>
          <t>El Peñol</t>
        </is>
      </c>
      <c r="Z466" t="inlineStr">
        <is>
          <t>Guayabillo</t>
        </is>
      </c>
    </row>
    <row r="467">
      <c r="V467" t="inlineStr">
        <is>
          <t>Sandoná</t>
        </is>
      </c>
      <c r="W467" t="inlineStr">
        <is>
          <t>El Vergel</t>
        </is>
      </c>
      <c r="Y467" t="inlineStr">
        <is>
          <t>El Peñol</t>
        </is>
      </c>
      <c r="Z467" t="inlineStr">
        <is>
          <t>Humero</t>
        </is>
      </c>
    </row>
    <row r="468">
      <c r="V468" t="inlineStr">
        <is>
          <t>Sandoná</t>
        </is>
      </c>
      <c r="W468" t="inlineStr">
        <is>
          <t>La Loma</t>
        </is>
      </c>
      <c r="Y468" t="inlineStr">
        <is>
          <t>El Peñol</t>
        </is>
      </c>
      <c r="Z468" t="inlineStr">
        <is>
          <t>Humitaro</t>
        </is>
      </c>
    </row>
    <row r="469">
      <c r="V469" t="inlineStr">
        <is>
          <t>Sandoná</t>
        </is>
      </c>
      <c r="W469" t="inlineStr">
        <is>
          <t>Paraguay</t>
        </is>
      </c>
      <c r="Y469" t="inlineStr">
        <is>
          <t>El Peñol</t>
        </is>
      </c>
      <c r="Z469" t="inlineStr">
        <is>
          <t>La Cuchilla</t>
        </is>
      </c>
    </row>
    <row r="470">
      <c r="V470" t="inlineStr">
        <is>
          <t>Sandoná</t>
        </is>
      </c>
      <c r="W470" t="inlineStr">
        <is>
          <t>Roma Chávez</t>
        </is>
      </c>
      <c r="Y470" t="inlineStr">
        <is>
          <t>El Peñol</t>
        </is>
      </c>
      <c r="Z470" t="inlineStr">
        <is>
          <t>La Toma</t>
        </is>
      </c>
    </row>
    <row r="471">
      <c r="V471" t="inlineStr">
        <is>
          <t>Sandoná</t>
        </is>
      </c>
      <c r="W471" t="inlineStr">
        <is>
          <t>San Bernardo</t>
        </is>
      </c>
      <c r="Y471" t="inlineStr">
        <is>
          <t>El Peñol</t>
        </is>
      </c>
      <c r="Z471" t="inlineStr">
        <is>
          <t>Las Cochas</t>
        </is>
      </c>
    </row>
    <row r="472">
      <c r="V472" t="inlineStr">
        <is>
          <t>Sandoná</t>
        </is>
      </c>
      <c r="W472" t="inlineStr">
        <is>
          <t>San Fernando</t>
        </is>
      </c>
      <c r="Y472" t="inlineStr">
        <is>
          <t>El Peñol</t>
        </is>
      </c>
      <c r="Z472" t="inlineStr">
        <is>
          <t>Molinoyaco</t>
        </is>
      </c>
    </row>
    <row r="473">
      <c r="V473" t="inlineStr">
        <is>
          <t>Sandoná</t>
        </is>
      </c>
      <c r="W473" t="inlineStr">
        <is>
          <t>San Francisco Alto</t>
        </is>
      </c>
      <c r="Y473" t="inlineStr">
        <is>
          <t>El Peñol</t>
        </is>
      </c>
      <c r="Z473" t="inlineStr">
        <is>
          <t>Peñol Viejo</t>
        </is>
      </c>
    </row>
    <row r="474">
      <c r="V474" t="inlineStr">
        <is>
          <t>Sandoná</t>
        </is>
      </c>
      <c r="W474" t="inlineStr">
        <is>
          <t>San Gabriel</t>
        </is>
      </c>
      <c r="Y474" t="inlineStr">
        <is>
          <t>El Peñol</t>
        </is>
      </c>
      <c r="Z474" t="inlineStr">
        <is>
          <t>Perejil</t>
        </is>
      </c>
    </row>
    <row r="475">
      <c r="V475" t="inlineStr">
        <is>
          <t>Sandoná</t>
        </is>
      </c>
      <c r="W475" t="inlineStr">
        <is>
          <t>San Miguel</t>
        </is>
      </c>
      <c r="Y475" t="inlineStr">
        <is>
          <t>El Peñol</t>
        </is>
      </c>
      <c r="Z475" t="inlineStr">
        <is>
          <t>Pindal</t>
        </is>
      </c>
    </row>
    <row r="476">
      <c r="V476" t="inlineStr">
        <is>
          <t>Sandoná</t>
        </is>
      </c>
      <c r="W476" t="inlineStr">
        <is>
          <t>Santa Bárbara</t>
        </is>
      </c>
      <c r="Y476" t="inlineStr">
        <is>
          <t>El Peñol</t>
        </is>
      </c>
      <c r="Z476" t="inlineStr">
        <is>
          <t>Pindopamba</t>
        </is>
      </c>
    </row>
    <row r="477">
      <c r="V477" t="inlineStr">
        <is>
          <t>Sandoná</t>
        </is>
      </c>
      <c r="W477" t="inlineStr">
        <is>
          <t>Santa Rosa</t>
        </is>
      </c>
      <c r="Y477" t="inlineStr">
        <is>
          <t>El Peñol</t>
        </is>
      </c>
      <c r="Z477" t="inlineStr">
        <is>
          <t>Pueblo Viejo</t>
        </is>
      </c>
    </row>
    <row r="478">
      <c r="V478" t="inlineStr">
        <is>
          <t>Sandoná</t>
        </is>
      </c>
      <c r="W478" t="inlineStr">
        <is>
          <t>Tambillo</t>
        </is>
      </c>
      <c r="Y478" t="inlineStr">
        <is>
          <t>El Peñol</t>
        </is>
      </c>
      <c r="Z478" t="inlineStr">
        <is>
          <t>San Clemente</t>
        </is>
      </c>
    </row>
    <row r="479">
      <c r="V479" t="inlineStr">
        <is>
          <t>Sandoná</t>
        </is>
      </c>
      <c r="W479" t="inlineStr">
        <is>
          <t>Urbanización Villa Cafelina</t>
        </is>
      </c>
      <c r="Y479" t="inlineStr">
        <is>
          <t>El Peñol</t>
        </is>
      </c>
      <c r="Z479" t="inlineStr">
        <is>
          <t>San Francisco</t>
        </is>
      </c>
    </row>
    <row r="480">
      <c r="V480" t="inlineStr">
        <is>
          <t>Santa Bárbara</t>
        </is>
      </c>
      <c r="W480" t="inlineStr">
        <is>
          <t>Boca de Chanzara</t>
        </is>
      </c>
      <c r="Y480" t="inlineStr">
        <is>
          <t>El Peñol</t>
        </is>
      </c>
      <c r="Z480" t="inlineStr">
        <is>
          <t>Torrecillas</t>
        </is>
      </c>
    </row>
    <row r="481">
      <c r="V481" t="inlineStr">
        <is>
          <t>Santa Bárbara</t>
        </is>
      </c>
      <c r="W481" t="inlineStr">
        <is>
          <t>Chico Pérez</t>
        </is>
      </c>
      <c r="Y481" t="inlineStr">
        <is>
          <t>El Rosario</t>
        </is>
      </c>
      <c r="Z481" t="inlineStr">
        <is>
          <t>Esmeralda</t>
        </is>
      </c>
    </row>
    <row r="482">
      <c r="V482" t="inlineStr">
        <is>
          <t>Santa Bárbara</t>
        </is>
      </c>
      <c r="W482" t="inlineStr">
        <is>
          <t>Cuerbal</t>
        </is>
      </c>
      <c r="Y482" t="inlineStr">
        <is>
          <t>El Rosario</t>
        </is>
      </c>
      <c r="Z482" t="inlineStr">
        <is>
          <t>La Florida</t>
        </is>
      </c>
    </row>
    <row r="483">
      <c r="V483" t="inlineStr">
        <is>
          <t>Santa Bárbara</t>
        </is>
      </c>
      <c r="W483" t="inlineStr">
        <is>
          <t>Guayabal</t>
        </is>
      </c>
      <c r="Y483" t="inlineStr">
        <is>
          <t>El Rosario</t>
        </is>
      </c>
      <c r="Z483" t="inlineStr">
        <is>
          <t>La Sierra</t>
        </is>
      </c>
    </row>
    <row r="484">
      <c r="V484" t="inlineStr">
        <is>
          <t>Santa Bárbara</t>
        </is>
      </c>
      <c r="W484" t="inlineStr">
        <is>
          <t>Juanchillo</t>
        </is>
      </c>
      <c r="Y484" t="inlineStr">
        <is>
          <t>El Rosario</t>
        </is>
      </c>
      <c r="Z484" t="inlineStr">
        <is>
          <t>Martin Perez</t>
        </is>
      </c>
    </row>
    <row r="485">
      <c r="V485" t="inlineStr">
        <is>
          <t>Santa Bárbara</t>
        </is>
      </c>
      <c r="W485" t="inlineStr">
        <is>
          <t>La Ensenada</t>
        </is>
      </c>
      <c r="Y485" t="inlineStr">
        <is>
          <t>El Rosario</t>
        </is>
      </c>
      <c r="Z485" t="inlineStr">
        <is>
          <t>Rincon</t>
        </is>
      </c>
    </row>
    <row r="486">
      <c r="V486" t="inlineStr">
        <is>
          <t>Santa Bárbara</t>
        </is>
      </c>
      <c r="W486" t="inlineStr">
        <is>
          <t>Las Varas</t>
        </is>
      </c>
      <c r="Y486" t="inlineStr">
        <is>
          <t>El Tablón de Gómez</t>
        </is>
      </c>
      <c r="Z486" t="inlineStr">
        <is>
          <t>Belen</t>
        </is>
      </c>
    </row>
    <row r="487">
      <c r="V487" t="inlineStr">
        <is>
          <t>Santa Bárbara</t>
        </is>
      </c>
      <c r="W487" t="inlineStr">
        <is>
          <t>Palomino</t>
        </is>
      </c>
      <c r="Y487" t="inlineStr">
        <is>
          <t>El Tablón de Gómez</t>
        </is>
      </c>
      <c r="Z487" t="inlineStr">
        <is>
          <t>Campo Alegre</t>
        </is>
      </c>
    </row>
    <row r="488">
      <c r="V488" t="inlineStr">
        <is>
          <t>Santa Bárbara</t>
        </is>
      </c>
      <c r="W488" t="inlineStr">
        <is>
          <t>Quigupi</t>
        </is>
      </c>
      <c r="Y488" t="inlineStr">
        <is>
          <t>El Tablón de Gómez</t>
        </is>
      </c>
      <c r="Z488" t="inlineStr">
        <is>
          <t>Doña Juana</t>
        </is>
      </c>
    </row>
    <row r="489">
      <c r="V489" t="inlineStr">
        <is>
          <t>Santa Bárbara</t>
        </is>
      </c>
      <c r="W489" t="inlineStr">
        <is>
          <t>Rodea</t>
        </is>
      </c>
      <c r="Y489" t="inlineStr">
        <is>
          <t>El Tablón de Gómez</t>
        </is>
      </c>
      <c r="Z489" t="inlineStr">
        <is>
          <t>El Carmelo</t>
        </is>
      </c>
    </row>
    <row r="490">
      <c r="V490" t="inlineStr">
        <is>
          <t>Santa Bárbara</t>
        </is>
      </c>
      <c r="W490" t="inlineStr">
        <is>
          <t>Santa Rita</t>
        </is>
      </c>
      <c r="Y490" t="inlineStr">
        <is>
          <t>El Tablón de Gómez</t>
        </is>
      </c>
      <c r="Z490" t="inlineStr">
        <is>
          <t>El Cedro</t>
        </is>
      </c>
    </row>
    <row r="491">
      <c r="V491" t="inlineStr">
        <is>
          <t>Santa Bárbara</t>
        </is>
      </c>
      <c r="W491" t="inlineStr">
        <is>
          <t>Secadero Seguihonda</t>
        </is>
      </c>
      <c r="Y491" t="inlineStr">
        <is>
          <t>El Tablón de Gómez</t>
        </is>
      </c>
      <c r="Z491" t="inlineStr">
        <is>
          <t>El Gurango</t>
        </is>
      </c>
    </row>
    <row r="492">
      <c r="V492" t="inlineStr">
        <is>
          <t>Santa Bárbara</t>
        </is>
      </c>
      <c r="W492" t="inlineStr">
        <is>
          <t>Soledad Pueblito</t>
        </is>
      </c>
      <c r="Y492" t="inlineStr">
        <is>
          <t>El Tablón de Gómez</t>
        </is>
      </c>
      <c r="Z492" t="inlineStr">
        <is>
          <t>El Palmar</t>
        </is>
      </c>
    </row>
    <row r="493">
      <c r="V493" t="inlineStr">
        <is>
          <t>Santacruz</t>
        </is>
      </c>
      <c r="W493" t="inlineStr">
        <is>
          <t>Balalaika</t>
        </is>
      </c>
      <c r="Y493" t="inlineStr">
        <is>
          <t>El Tablón de Gómez</t>
        </is>
      </c>
      <c r="Z493" t="inlineStr">
        <is>
          <t>El Plan</t>
        </is>
      </c>
    </row>
    <row r="494">
      <c r="V494" t="inlineStr">
        <is>
          <t>Santacruz</t>
        </is>
      </c>
      <c r="W494" t="inlineStr">
        <is>
          <t>Manchag</t>
        </is>
      </c>
      <c r="Y494" t="inlineStr">
        <is>
          <t>El Tablón de Gómez</t>
        </is>
      </c>
      <c r="Z494" t="inlineStr">
        <is>
          <t>El Porvenir</t>
        </is>
      </c>
    </row>
    <row r="495">
      <c r="V495" t="inlineStr">
        <is>
          <t>Santacruz</t>
        </is>
      </c>
      <c r="W495" t="inlineStr">
        <is>
          <t>Sande</t>
        </is>
      </c>
      <c r="Y495" t="inlineStr">
        <is>
          <t>El Tablón de Gómez</t>
        </is>
      </c>
      <c r="Z495" t="inlineStr">
        <is>
          <t>El Silencio</t>
        </is>
      </c>
    </row>
    <row r="496">
      <c r="V496" t="inlineStr">
        <is>
          <t>Sapuyes</t>
        </is>
      </c>
      <c r="W496" t="inlineStr">
        <is>
          <t>El Espino</t>
        </is>
      </c>
      <c r="Y496" t="inlineStr">
        <is>
          <t>El Tablón de Gómez</t>
        </is>
      </c>
      <c r="Z496" t="inlineStr">
        <is>
          <t>Gavilla Alta</t>
        </is>
      </c>
    </row>
    <row r="497">
      <c r="V497" t="inlineStr">
        <is>
          <t>Sapuyes</t>
        </is>
      </c>
      <c r="W497" t="inlineStr">
        <is>
          <t>Uribe</t>
        </is>
      </c>
      <c r="Y497" t="inlineStr">
        <is>
          <t>El Tablón de Gómez</t>
        </is>
      </c>
      <c r="Z497" t="inlineStr">
        <is>
          <t>Gavilla Baja</t>
        </is>
      </c>
    </row>
    <row r="498">
      <c r="V498" t="inlineStr">
        <is>
          <t>Taminango</t>
        </is>
      </c>
      <c r="W498" t="inlineStr">
        <is>
          <t>Alto de Diego</t>
        </is>
      </c>
      <c r="Y498" t="inlineStr">
        <is>
          <t>El Tablón de Gómez</t>
        </is>
      </c>
      <c r="Z498" t="inlineStr">
        <is>
          <t>Juanoy Alto</t>
        </is>
      </c>
    </row>
    <row r="499">
      <c r="V499" t="inlineStr">
        <is>
          <t>Taminango</t>
        </is>
      </c>
      <c r="W499" t="inlineStr">
        <is>
          <t>Curiaco</t>
        </is>
      </c>
      <c r="Y499" t="inlineStr">
        <is>
          <t>El Tablón de Gómez</t>
        </is>
      </c>
      <c r="Z499" t="inlineStr">
        <is>
          <t>La Esmeralda</t>
        </is>
      </c>
    </row>
    <row r="500">
      <c r="V500" t="inlineStr">
        <is>
          <t>Taminango</t>
        </is>
      </c>
      <c r="W500" t="inlineStr">
        <is>
          <t>El Diviso</t>
        </is>
      </c>
      <c r="Y500" t="inlineStr">
        <is>
          <t>El Tablón de Gómez</t>
        </is>
      </c>
      <c r="Z500" t="inlineStr">
        <is>
          <t>La Florida</t>
        </is>
      </c>
    </row>
    <row r="501">
      <c r="V501" t="inlineStr">
        <is>
          <t>Taminango</t>
        </is>
      </c>
      <c r="W501" t="inlineStr">
        <is>
          <t>El Manzano</t>
        </is>
      </c>
      <c r="Y501" t="inlineStr">
        <is>
          <t>El Tablón de Gómez</t>
        </is>
      </c>
      <c r="Z501" t="inlineStr">
        <is>
          <t>La Victoria</t>
        </is>
      </c>
    </row>
    <row r="502">
      <c r="V502" t="inlineStr">
        <is>
          <t>Taminango</t>
        </is>
      </c>
      <c r="W502" t="inlineStr">
        <is>
          <t>El Remolino</t>
        </is>
      </c>
      <c r="Y502" t="inlineStr">
        <is>
          <t>El Tablón de Gómez</t>
        </is>
      </c>
      <c r="Z502" t="inlineStr">
        <is>
          <t>Llano Largo</t>
        </is>
      </c>
    </row>
    <row r="503">
      <c r="V503" t="inlineStr">
        <is>
          <t>Taminango</t>
        </is>
      </c>
      <c r="W503" t="inlineStr">
        <is>
          <t>El Tablón</t>
        </is>
      </c>
      <c r="Y503" t="inlineStr">
        <is>
          <t>El Tablón de Gómez</t>
        </is>
      </c>
      <c r="Z503" t="inlineStr">
        <is>
          <t>Loma Larga</t>
        </is>
      </c>
    </row>
    <row r="504">
      <c r="V504" t="inlineStr">
        <is>
          <t>Taminango</t>
        </is>
      </c>
      <c r="W504" t="inlineStr">
        <is>
          <t>Guayacanal</t>
        </is>
      </c>
      <c r="Y504" t="inlineStr">
        <is>
          <t>El Tablón de Gómez</t>
        </is>
      </c>
      <c r="Z504" t="inlineStr">
        <is>
          <t>Los Alpes</t>
        </is>
      </c>
    </row>
    <row r="505">
      <c r="V505" t="inlineStr">
        <is>
          <t>Taminango</t>
        </is>
      </c>
      <c r="W505" t="inlineStr">
        <is>
          <t>La Granada</t>
        </is>
      </c>
      <c r="Y505" t="inlineStr">
        <is>
          <t>El Tablón de Gómez</t>
        </is>
      </c>
      <c r="Z505" t="inlineStr">
        <is>
          <t>Los Yungas</t>
        </is>
      </c>
    </row>
    <row r="506">
      <c r="V506" t="inlineStr">
        <is>
          <t>Taminango</t>
        </is>
      </c>
      <c r="W506" t="inlineStr">
        <is>
          <t>Panoya</t>
        </is>
      </c>
      <c r="Y506" t="inlineStr">
        <is>
          <t>El Tablón de Gómez</t>
        </is>
      </c>
      <c r="Z506" t="inlineStr">
        <is>
          <t>Marcella</t>
        </is>
      </c>
    </row>
    <row r="507">
      <c r="V507" t="inlineStr">
        <is>
          <t>Taminango</t>
        </is>
      </c>
      <c r="W507" t="inlineStr">
        <is>
          <t>Páramo</t>
        </is>
      </c>
      <c r="Y507" t="inlineStr">
        <is>
          <t>El Tablón de Gómez</t>
        </is>
      </c>
      <c r="Z507" t="inlineStr">
        <is>
          <t>Maria Inmaculada</t>
        </is>
      </c>
    </row>
    <row r="508">
      <c r="V508" t="inlineStr">
        <is>
          <t>Taminango</t>
        </is>
      </c>
      <c r="W508" t="inlineStr">
        <is>
          <t>San Isidro</t>
        </is>
      </c>
      <c r="Y508" t="inlineStr">
        <is>
          <t>El Tablón de Gómez</t>
        </is>
      </c>
      <c r="Z508" t="inlineStr">
        <is>
          <t>Pitalito Alto</t>
        </is>
      </c>
    </row>
    <row r="509">
      <c r="V509" t="inlineStr">
        <is>
          <t>Taminango</t>
        </is>
      </c>
      <c r="W509" t="inlineStr">
        <is>
          <t>Viento Libre</t>
        </is>
      </c>
      <c r="Y509" t="inlineStr">
        <is>
          <t>El Tablón de Gómez</t>
        </is>
      </c>
      <c r="Z509" t="inlineStr">
        <is>
          <t>Pitalito Bajo</t>
        </is>
      </c>
    </row>
    <row r="510">
      <c r="V510" t="inlineStr">
        <is>
          <t>Tangua</t>
        </is>
      </c>
      <c r="W510" t="inlineStr">
        <is>
          <t>Santander</t>
        </is>
      </c>
      <c r="Y510" t="inlineStr">
        <is>
          <t>El Tablón de Gómez</t>
        </is>
      </c>
      <c r="Z510" t="inlineStr">
        <is>
          <t>Plan Aradas</t>
        </is>
      </c>
    </row>
    <row r="511">
      <c r="V511" t="inlineStr">
        <is>
          <t>Túquerres</t>
        </is>
      </c>
      <c r="W511" t="inlineStr">
        <is>
          <t>Albán</t>
        </is>
      </c>
      <c r="Y511" t="inlineStr">
        <is>
          <t>El Tablón de Gómez</t>
        </is>
      </c>
      <c r="Z511" t="inlineStr">
        <is>
          <t>Providencia</t>
        </is>
      </c>
    </row>
    <row r="512">
      <c r="V512" t="inlineStr">
        <is>
          <t>Túquerres</t>
        </is>
      </c>
      <c r="W512" t="inlineStr">
        <is>
          <t>Cuatro Esquinas</t>
        </is>
      </c>
      <c r="Y512" t="inlineStr">
        <is>
          <t>El Tablón de Gómez</t>
        </is>
      </c>
      <c r="Z512" t="inlineStr">
        <is>
          <t>Puerto Esperanza</t>
        </is>
      </c>
    </row>
    <row r="513">
      <c r="V513" t="inlineStr">
        <is>
          <t>Túquerres</t>
        </is>
      </c>
      <c r="W513" t="inlineStr">
        <is>
          <t>La Florida</t>
        </is>
      </c>
      <c r="Y513" t="inlineStr">
        <is>
          <t>El Tablón de Gómez</t>
        </is>
      </c>
      <c r="Z513" t="inlineStr">
        <is>
          <t>Puerto Nuevo</t>
        </is>
      </c>
    </row>
    <row r="514">
      <c r="V514" t="inlineStr">
        <is>
          <t>Túquerres</t>
        </is>
      </c>
      <c r="W514" t="inlineStr">
        <is>
          <t>La Jardinera</t>
        </is>
      </c>
      <c r="Y514" t="inlineStr">
        <is>
          <t>El Tablón de Gómez</t>
        </is>
      </c>
      <c r="Z514" t="inlineStr">
        <is>
          <t>Resguardo Indígena de Aponte</t>
        </is>
      </c>
    </row>
    <row r="515">
      <c r="V515" t="inlineStr">
        <is>
          <t>Túquerres</t>
        </is>
      </c>
      <c r="W515" t="inlineStr">
        <is>
          <t>Los Arrayanes</t>
        </is>
      </c>
      <c r="Y515" t="inlineStr">
        <is>
          <t>El Tablón de Gómez</t>
        </is>
      </c>
      <c r="Z515" t="inlineStr">
        <is>
          <t>San Francisco</t>
        </is>
      </c>
    </row>
    <row r="516">
      <c r="V516" t="inlineStr">
        <is>
          <t>Túquerres</t>
        </is>
      </c>
      <c r="W516" t="inlineStr">
        <is>
          <t>Pinzón</t>
        </is>
      </c>
      <c r="Y516" t="inlineStr">
        <is>
          <t>El Tablón de Gómez</t>
        </is>
      </c>
      <c r="Z516" t="inlineStr">
        <is>
          <t>San Rafael</t>
        </is>
      </c>
    </row>
    <row r="517">
      <c r="V517" t="inlineStr">
        <is>
          <t>Túquerres</t>
        </is>
      </c>
      <c r="W517" t="inlineStr">
        <is>
          <t>Pueblo Nuevo</t>
        </is>
      </c>
      <c r="Y517" t="inlineStr">
        <is>
          <t>El Tablón de Gómez</t>
        </is>
      </c>
      <c r="Z517" t="inlineStr">
        <is>
          <t>Sinai</t>
        </is>
      </c>
    </row>
    <row r="518">
      <c r="V518" t="inlineStr">
        <is>
          <t>Túquerres</t>
        </is>
      </c>
      <c r="W518" t="inlineStr">
        <is>
          <t>Quebrada Oscura</t>
        </is>
      </c>
      <c r="Y518" t="inlineStr">
        <is>
          <t>El Tablón de Gómez</t>
        </is>
      </c>
      <c r="Z518" t="inlineStr">
        <is>
          <t>Valencia</t>
        </is>
      </c>
    </row>
    <row r="519">
      <c r="V519" t="inlineStr">
        <is>
          <t>Túquerres</t>
        </is>
      </c>
      <c r="W519" t="inlineStr">
        <is>
          <t>Santander</t>
        </is>
      </c>
      <c r="Y519" t="inlineStr">
        <is>
          <t>El Tablón de Gómez</t>
        </is>
      </c>
      <c r="Z519" t="inlineStr">
        <is>
          <t>Valmaria</t>
        </is>
      </c>
    </row>
    <row r="520">
      <c r="V520" t="inlineStr">
        <is>
          <t>Túquerres</t>
        </is>
      </c>
      <c r="W520" t="inlineStr">
        <is>
          <t>Yascual</t>
        </is>
      </c>
      <c r="Y520" t="inlineStr">
        <is>
          <t>El Tambo</t>
        </is>
      </c>
      <c r="Z520" t="inlineStr">
        <is>
          <t>Alto de San Pablo</t>
        </is>
      </c>
    </row>
    <row r="521">
      <c r="V521" t="inlineStr">
        <is>
          <t>Yacuanquer</t>
        </is>
      </c>
      <c r="W521" t="inlineStr">
        <is>
          <t>La Aguada</t>
        </is>
      </c>
      <c r="Y521" t="inlineStr">
        <is>
          <t>El Tambo</t>
        </is>
      </c>
      <c r="Z521" t="inlineStr">
        <is>
          <t>Aminda</t>
        </is>
      </c>
    </row>
    <row r="522">
      <c r="V522" t="inlineStr">
        <is>
          <t>Yacuanquer</t>
        </is>
      </c>
      <c r="W522" t="inlineStr">
        <is>
          <t>Mejía</t>
        </is>
      </c>
      <c r="Y522" t="inlineStr">
        <is>
          <t>El Tambo</t>
        </is>
      </c>
      <c r="Z522" t="inlineStr">
        <is>
          <t>Azogue</t>
        </is>
      </c>
    </row>
    <row r="523">
      <c r="Y523" t="inlineStr">
        <is>
          <t>El Tambo</t>
        </is>
      </c>
      <c r="Z523" t="inlineStr">
        <is>
          <t>Bello Horizonte</t>
        </is>
      </c>
    </row>
    <row r="524">
      <c r="Y524" t="inlineStr">
        <is>
          <t>El Tambo</t>
        </is>
      </c>
      <c r="Z524" t="inlineStr">
        <is>
          <t>Capuli de Minas</t>
        </is>
      </c>
    </row>
    <row r="525">
      <c r="Y525" t="inlineStr">
        <is>
          <t>El Tambo</t>
        </is>
      </c>
      <c r="Z525" t="inlineStr">
        <is>
          <t>Capuli Grande</t>
        </is>
      </c>
    </row>
    <row r="526">
      <c r="Y526" t="inlineStr">
        <is>
          <t>El Tambo</t>
        </is>
      </c>
      <c r="Z526" t="inlineStr">
        <is>
          <t>Cascajal Alto</t>
        </is>
      </c>
    </row>
    <row r="527">
      <c r="Y527" t="inlineStr">
        <is>
          <t>El Tambo</t>
        </is>
      </c>
      <c r="Z527" t="inlineStr">
        <is>
          <t>Cascajal Bajo</t>
        </is>
      </c>
    </row>
    <row r="528">
      <c r="Y528" t="inlineStr">
        <is>
          <t>El Tambo</t>
        </is>
      </c>
      <c r="Z528" t="inlineStr">
        <is>
          <t>Chagraurco</t>
        </is>
      </c>
    </row>
    <row r="529">
      <c r="Y529" t="inlineStr">
        <is>
          <t>El Tambo</t>
        </is>
      </c>
      <c r="Z529" t="inlineStr">
        <is>
          <t>Chuza</t>
        </is>
      </c>
    </row>
    <row r="530">
      <c r="Y530" t="inlineStr">
        <is>
          <t>El Tambo</t>
        </is>
      </c>
      <c r="Z530" t="inlineStr">
        <is>
          <t>El Cucharo</t>
        </is>
      </c>
    </row>
    <row r="531">
      <c r="Y531" t="inlineStr">
        <is>
          <t>El Tambo</t>
        </is>
      </c>
      <c r="Z531" t="inlineStr">
        <is>
          <t>El Placer</t>
        </is>
      </c>
    </row>
    <row r="532">
      <c r="Y532" t="inlineStr">
        <is>
          <t>El Tambo</t>
        </is>
      </c>
      <c r="Z532" t="inlineStr">
        <is>
          <t>Granadillo</t>
        </is>
      </c>
    </row>
    <row r="533">
      <c r="Y533" t="inlineStr">
        <is>
          <t>El Tambo</t>
        </is>
      </c>
      <c r="Z533" t="inlineStr">
        <is>
          <t>Humitáro</t>
        </is>
      </c>
    </row>
    <row r="534">
      <c r="Y534" t="inlineStr">
        <is>
          <t>El Tambo</t>
        </is>
      </c>
      <c r="Z534" t="inlineStr">
        <is>
          <t>La Cafelina</t>
        </is>
      </c>
    </row>
    <row r="535">
      <c r="Y535" t="inlineStr">
        <is>
          <t>El Tambo</t>
        </is>
      </c>
      <c r="Z535" t="inlineStr">
        <is>
          <t>La Cocha</t>
        </is>
      </c>
    </row>
    <row r="536">
      <c r="Y536" t="inlineStr">
        <is>
          <t>El Tambo</t>
        </is>
      </c>
      <c r="Z536" t="inlineStr">
        <is>
          <t>La Espada</t>
        </is>
      </c>
    </row>
    <row r="537">
      <c r="Y537" t="inlineStr">
        <is>
          <t>El Tambo</t>
        </is>
      </c>
      <c r="Z537" t="inlineStr">
        <is>
          <t>La Granja</t>
        </is>
      </c>
    </row>
    <row r="538">
      <c r="Y538" t="inlineStr">
        <is>
          <t>El Tambo</t>
        </is>
      </c>
      <c r="Z538" t="inlineStr">
        <is>
          <t>La Sultana</t>
        </is>
      </c>
    </row>
    <row r="539">
      <c r="Y539" t="inlineStr">
        <is>
          <t>El Tambo</t>
        </is>
      </c>
      <c r="Z539" t="inlineStr">
        <is>
          <t>Las Palmas</t>
        </is>
      </c>
    </row>
    <row r="540">
      <c r="Y540" t="inlineStr">
        <is>
          <t>El Tambo</t>
        </is>
      </c>
      <c r="Z540" t="inlineStr">
        <is>
          <t>Llano Largo</t>
        </is>
      </c>
    </row>
    <row r="541">
      <c r="Y541" t="inlineStr">
        <is>
          <t>El Tambo</t>
        </is>
      </c>
      <c r="Z541" t="inlineStr">
        <is>
          <t>Llanos de Manchabajoy</t>
        </is>
      </c>
    </row>
    <row r="542">
      <c r="Y542" t="inlineStr">
        <is>
          <t>El Tambo</t>
        </is>
      </c>
      <c r="Z542" t="inlineStr">
        <is>
          <t>Los Limos</t>
        </is>
      </c>
    </row>
    <row r="543">
      <c r="Y543" t="inlineStr">
        <is>
          <t>El Tambo</t>
        </is>
      </c>
      <c r="Z543" t="inlineStr">
        <is>
          <t>Mejico</t>
        </is>
      </c>
    </row>
    <row r="544">
      <c r="Y544" t="inlineStr">
        <is>
          <t>El Tambo</t>
        </is>
      </c>
      <c r="Z544" t="inlineStr">
        <is>
          <t>Ovejera</t>
        </is>
      </c>
    </row>
    <row r="545">
      <c r="Y545" t="inlineStr">
        <is>
          <t>El Tambo</t>
        </is>
      </c>
      <c r="Z545" t="inlineStr">
        <is>
          <t>Plan Verde</t>
        </is>
      </c>
    </row>
    <row r="546">
      <c r="Y546" t="inlineStr">
        <is>
          <t>El Tambo</t>
        </is>
      </c>
      <c r="Z546" t="inlineStr">
        <is>
          <t>Pocaurco</t>
        </is>
      </c>
    </row>
    <row r="547">
      <c r="Y547" t="inlineStr">
        <is>
          <t>El Tambo</t>
        </is>
      </c>
      <c r="Z547" t="inlineStr">
        <is>
          <t>Potrerillo</t>
        </is>
      </c>
    </row>
    <row r="548">
      <c r="Y548" t="inlineStr">
        <is>
          <t>El Tambo</t>
        </is>
      </c>
      <c r="Z548" t="inlineStr">
        <is>
          <t>Pueblo Viejo</t>
        </is>
      </c>
    </row>
    <row r="549">
      <c r="Y549" t="inlineStr">
        <is>
          <t>El Tambo</t>
        </is>
      </c>
      <c r="Z549" t="inlineStr">
        <is>
          <t>Ricaurte</t>
        </is>
      </c>
    </row>
    <row r="550">
      <c r="Y550" t="inlineStr">
        <is>
          <t>El Tambo</t>
        </is>
      </c>
      <c r="Z550" t="inlineStr">
        <is>
          <t>San Antonio de Chuza</t>
        </is>
      </c>
    </row>
    <row r="551">
      <c r="Y551" t="inlineStr">
        <is>
          <t>El Tambo</t>
        </is>
      </c>
      <c r="Z551" t="inlineStr">
        <is>
          <t>San José de Cidral</t>
        </is>
      </c>
    </row>
    <row r="552">
      <c r="Y552" t="inlineStr">
        <is>
          <t>El Tambo</t>
        </is>
      </c>
      <c r="Z552" t="inlineStr">
        <is>
          <t>San Pablo Bajo</t>
        </is>
      </c>
    </row>
    <row r="553">
      <c r="Y553" t="inlineStr">
        <is>
          <t>El Tambo</t>
        </is>
      </c>
      <c r="Z553" t="inlineStr">
        <is>
          <t>San Pedro</t>
        </is>
      </c>
    </row>
    <row r="554">
      <c r="Y554" t="inlineStr">
        <is>
          <t>El Tambo</t>
        </is>
      </c>
      <c r="Z554" t="inlineStr">
        <is>
          <t>Tambillo</t>
        </is>
      </c>
    </row>
    <row r="555">
      <c r="Y555" t="inlineStr">
        <is>
          <t>El Tambo</t>
        </is>
      </c>
      <c r="Z555" t="inlineStr">
        <is>
          <t>Trojayaco</t>
        </is>
      </c>
    </row>
    <row r="556">
      <c r="Y556" t="inlineStr">
        <is>
          <t>El Tambo</t>
        </is>
      </c>
      <c r="Z556" t="inlineStr">
        <is>
          <t>Villanueva</t>
        </is>
      </c>
    </row>
    <row r="557">
      <c r="Y557" t="inlineStr">
        <is>
          <t>El Tambo</t>
        </is>
      </c>
      <c r="Z557" t="inlineStr">
        <is>
          <t>Zanjon</t>
        </is>
      </c>
    </row>
    <row r="558">
      <c r="Y558" t="inlineStr">
        <is>
          <t>Francisco Pizarro</t>
        </is>
      </c>
      <c r="Z558" t="inlineStr">
        <is>
          <t>Corocito Macagua</t>
        </is>
      </c>
    </row>
    <row r="559">
      <c r="Y559" t="inlineStr">
        <is>
          <t>Francisco Pizarro</t>
        </is>
      </c>
      <c r="Z559" t="inlineStr">
        <is>
          <t>Hojas Blancas</t>
        </is>
      </c>
    </row>
    <row r="560">
      <c r="Y560" t="inlineStr">
        <is>
          <t>Francisco Pizarro</t>
        </is>
      </c>
      <c r="Z560" t="inlineStr">
        <is>
          <t>La Paya</t>
        </is>
      </c>
    </row>
    <row r="561">
      <c r="Y561" t="inlineStr">
        <is>
          <t>Francisco Pizarro</t>
        </is>
      </c>
      <c r="Z561" t="inlineStr">
        <is>
          <t>La Ventura</t>
        </is>
      </c>
    </row>
    <row r="562">
      <c r="Y562" t="inlineStr">
        <is>
          <t>Francisco Pizarro</t>
        </is>
      </c>
      <c r="Z562" t="inlineStr">
        <is>
          <t>Palermo</t>
        </is>
      </c>
    </row>
    <row r="563">
      <c r="Y563" t="inlineStr">
        <is>
          <t>Francisco Pizarro</t>
        </is>
      </c>
      <c r="Z563" t="inlineStr">
        <is>
          <t>Pueto Gaitan</t>
        </is>
      </c>
    </row>
    <row r="564">
      <c r="Y564" t="inlineStr">
        <is>
          <t>Francisco Pizarro</t>
        </is>
      </c>
      <c r="Z564" t="inlineStr">
        <is>
          <t>Punta del Habra</t>
        </is>
      </c>
    </row>
    <row r="565">
      <c r="Y565" t="inlineStr">
        <is>
          <t>Francisco Pizarro</t>
        </is>
      </c>
      <c r="Z565" t="inlineStr">
        <is>
          <t>Santa Barbara</t>
        </is>
      </c>
    </row>
    <row r="566">
      <c r="Y566" t="inlineStr">
        <is>
          <t>Francisco Pizarro</t>
        </is>
      </c>
      <c r="Z566" t="inlineStr">
        <is>
          <t>Talaiga Nuevo</t>
        </is>
      </c>
    </row>
    <row r="567">
      <c r="Y567" t="inlineStr">
        <is>
          <t>Francisco Pizarro</t>
        </is>
      </c>
      <c r="Z567" t="inlineStr">
        <is>
          <t>Vado Real</t>
        </is>
      </c>
    </row>
    <row r="568">
      <c r="Y568" t="inlineStr">
        <is>
          <t>Funes</t>
        </is>
      </c>
      <c r="Z568" t="inlineStr">
        <is>
          <t>Chitarran</t>
        </is>
      </c>
    </row>
    <row r="569">
      <c r="Y569" t="inlineStr">
        <is>
          <t>Funes</t>
        </is>
      </c>
      <c r="Z569" t="inlineStr">
        <is>
          <t>El Salado</t>
        </is>
      </c>
    </row>
    <row r="570">
      <c r="Y570" t="inlineStr">
        <is>
          <t>Funes</t>
        </is>
      </c>
      <c r="Z570" t="inlineStr">
        <is>
          <t>La Mesa</t>
        </is>
      </c>
    </row>
    <row r="571">
      <c r="Y571" t="inlineStr">
        <is>
          <t>Funes</t>
        </is>
      </c>
      <c r="Z571" t="inlineStr">
        <is>
          <t>La Pradera</t>
        </is>
      </c>
    </row>
    <row r="572">
      <c r="Y572" t="inlineStr">
        <is>
          <t>Funes</t>
        </is>
      </c>
      <c r="Z572" t="inlineStr">
        <is>
          <t>Los Aticos</t>
        </is>
      </c>
    </row>
    <row r="573">
      <c r="Y573" t="inlineStr">
        <is>
          <t>Funes</t>
        </is>
      </c>
      <c r="Z573" t="inlineStr">
        <is>
          <t>Santa Marta</t>
        </is>
      </c>
    </row>
    <row r="574">
      <c r="Y574" t="inlineStr">
        <is>
          <t>Funes</t>
        </is>
      </c>
      <c r="Z574" t="inlineStr">
        <is>
          <t>Sin Informacion</t>
        </is>
      </c>
    </row>
    <row r="575">
      <c r="Y575" t="inlineStr">
        <is>
          <t>Funes</t>
        </is>
      </c>
      <c r="Z575" t="inlineStr">
        <is>
          <t>Soledad</t>
        </is>
      </c>
    </row>
    <row r="576">
      <c r="Y576" t="inlineStr">
        <is>
          <t>Funes</t>
        </is>
      </c>
      <c r="Z576" t="inlineStr">
        <is>
          <t>Valle de San José</t>
        </is>
      </c>
    </row>
    <row r="577">
      <c r="Y577" t="inlineStr">
        <is>
          <t>Guachucal</t>
        </is>
      </c>
      <c r="Z577" t="inlineStr">
        <is>
          <t>Arvela</t>
        </is>
      </c>
    </row>
    <row r="578">
      <c r="Y578" t="inlineStr">
        <is>
          <t>Guachucal</t>
        </is>
      </c>
      <c r="Z578" t="inlineStr">
        <is>
          <t>Cascajal</t>
        </is>
      </c>
    </row>
    <row r="579">
      <c r="Y579" t="inlineStr">
        <is>
          <t>Guachucal</t>
        </is>
      </c>
      <c r="Z579" t="inlineStr">
        <is>
          <t>Chapud</t>
        </is>
      </c>
    </row>
    <row r="580">
      <c r="Y580" t="inlineStr">
        <is>
          <t>Guachucal</t>
        </is>
      </c>
      <c r="Z580" t="inlineStr">
        <is>
          <t>Chimangual</t>
        </is>
      </c>
    </row>
    <row r="581">
      <c r="Y581" t="inlineStr">
        <is>
          <t>Guachucal</t>
        </is>
      </c>
      <c r="Z581" t="inlineStr">
        <is>
          <t>Colimba</t>
        </is>
      </c>
    </row>
    <row r="582">
      <c r="Y582" t="inlineStr">
        <is>
          <t>Guachucal</t>
        </is>
      </c>
      <c r="Z582" t="inlineStr">
        <is>
          <t>Común de las Juntas</t>
        </is>
      </c>
    </row>
    <row r="583">
      <c r="Y583" t="inlineStr">
        <is>
          <t>Guachucal</t>
        </is>
      </c>
      <c r="Z583" t="inlineStr">
        <is>
          <t>Cristo</t>
        </is>
      </c>
    </row>
    <row r="584">
      <c r="Y584" t="inlineStr">
        <is>
          <t>Guachucal</t>
        </is>
      </c>
      <c r="Z584" t="inlineStr">
        <is>
          <t>Cristo Alto</t>
        </is>
      </c>
    </row>
    <row r="585">
      <c r="Y585" t="inlineStr">
        <is>
          <t>Guachucal</t>
        </is>
      </c>
      <c r="Z585" t="inlineStr">
        <is>
          <t>Cualapud Alto</t>
        </is>
      </c>
    </row>
    <row r="586">
      <c r="Y586" t="inlineStr">
        <is>
          <t>Guachucal</t>
        </is>
      </c>
      <c r="Z586" t="inlineStr">
        <is>
          <t>Cualapud Bajo</t>
        </is>
      </c>
    </row>
    <row r="587">
      <c r="Y587" t="inlineStr">
        <is>
          <t>Guachucal</t>
        </is>
      </c>
      <c r="Z587" t="inlineStr">
        <is>
          <t>Cuatines</t>
        </is>
      </c>
    </row>
    <row r="588">
      <c r="Y588" t="inlineStr">
        <is>
          <t>Guachucal</t>
        </is>
      </c>
      <c r="Z588" t="inlineStr">
        <is>
          <t>El Consuelo</t>
        </is>
      </c>
    </row>
    <row r="589">
      <c r="Y589" t="inlineStr">
        <is>
          <t>Guachucal</t>
        </is>
      </c>
      <c r="Z589" t="inlineStr">
        <is>
          <t>El Mayo</t>
        </is>
      </c>
    </row>
    <row r="590">
      <c r="Y590" t="inlineStr">
        <is>
          <t>Guachucal</t>
        </is>
      </c>
      <c r="Z590" t="inlineStr">
        <is>
          <t>El Molino</t>
        </is>
      </c>
    </row>
    <row r="591">
      <c r="Y591" t="inlineStr">
        <is>
          <t>Guachucal</t>
        </is>
      </c>
      <c r="Z591" t="inlineStr">
        <is>
          <t>Guachucal Centro</t>
        </is>
      </c>
    </row>
    <row r="592">
      <c r="Y592" t="inlineStr">
        <is>
          <t>Guachucal</t>
        </is>
      </c>
      <c r="Z592" t="inlineStr">
        <is>
          <t>Guan</t>
        </is>
      </c>
    </row>
    <row r="593">
      <c r="Y593" t="inlineStr">
        <is>
          <t>Guachucal</t>
        </is>
      </c>
      <c r="Z593" t="inlineStr">
        <is>
          <t>Guan Comunidad</t>
        </is>
      </c>
    </row>
    <row r="594">
      <c r="Y594" t="inlineStr">
        <is>
          <t>Guachucal</t>
        </is>
      </c>
      <c r="Z594" t="inlineStr">
        <is>
          <t>Guan Puente Alto</t>
        </is>
      </c>
    </row>
    <row r="595">
      <c r="Y595" t="inlineStr">
        <is>
          <t>Guachucal</t>
        </is>
      </c>
      <c r="Z595" t="inlineStr">
        <is>
          <t>Guancha</t>
        </is>
      </c>
    </row>
    <row r="596">
      <c r="Y596" t="inlineStr">
        <is>
          <t>Guachucal</t>
        </is>
      </c>
      <c r="Z596" t="inlineStr">
        <is>
          <t>Ipialpud Alto</t>
        </is>
      </c>
    </row>
    <row r="597">
      <c r="Y597" t="inlineStr">
        <is>
          <t>Guachucal</t>
        </is>
      </c>
      <c r="Z597" t="inlineStr">
        <is>
          <t>Ipialpud Bajo</t>
        </is>
      </c>
    </row>
    <row r="598">
      <c r="Y598" t="inlineStr">
        <is>
          <t>Guachucal</t>
        </is>
      </c>
      <c r="Z598" t="inlineStr">
        <is>
          <t>La Victoria</t>
        </is>
      </c>
    </row>
    <row r="599">
      <c r="Y599" t="inlineStr">
        <is>
          <t>Guachucal</t>
        </is>
      </c>
      <c r="Z599" t="inlineStr">
        <is>
          <t>Niguala</t>
        </is>
      </c>
    </row>
    <row r="600">
      <c r="Y600" t="inlineStr">
        <is>
          <t>Guachucal</t>
        </is>
      </c>
      <c r="Z600" t="inlineStr">
        <is>
          <t>Quetambu</t>
        </is>
      </c>
    </row>
    <row r="601">
      <c r="Y601" t="inlineStr">
        <is>
          <t>Guachucal</t>
        </is>
      </c>
      <c r="Z601" t="inlineStr">
        <is>
          <t>Riveras</t>
        </is>
      </c>
    </row>
    <row r="602">
      <c r="Y602" t="inlineStr">
        <is>
          <t>Guachucal</t>
        </is>
      </c>
      <c r="Z602" t="inlineStr">
        <is>
          <t>San Diego de Muellamues</t>
        </is>
      </c>
    </row>
    <row r="603">
      <c r="Y603" t="inlineStr">
        <is>
          <t>Guachucal</t>
        </is>
      </c>
      <c r="Z603" t="inlineStr">
        <is>
          <t>San José de Chillanquer</t>
        </is>
      </c>
    </row>
    <row r="604">
      <c r="Y604" t="inlineStr">
        <is>
          <t>Guachucal</t>
        </is>
      </c>
      <c r="Z604" t="inlineStr">
        <is>
          <t>San Ramón</t>
        </is>
      </c>
    </row>
    <row r="605">
      <c r="Y605" t="inlineStr">
        <is>
          <t>Guachucal</t>
        </is>
      </c>
      <c r="Z605" t="inlineStr">
        <is>
          <t>Santa Rosa Tinta</t>
        </is>
      </c>
    </row>
    <row r="606">
      <c r="Y606" t="inlineStr">
        <is>
          <t>Guachucal</t>
        </is>
      </c>
      <c r="Z606" t="inlineStr">
        <is>
          <t>Simancas</t>
        </is>
      </c>
    </row>
    <row r="607">
      <c r="Y607" t="inlineStr">
        <is>
          <t>Guachucal</t>
        </is>
      </c>
      <c r="Z607" t="inlineStr">
        <is>
          <t>Villanueva</t>
        </is>
      </c>
    </row>
    <row r="608">
      <c r="Y608" t="inlineStr">
        <is>
          <t>Guaitarilla</t>
        </is>
      </c>
      <c r="Z608" t="inlineStr">
        <is>
          <t>Cabunocentro</t>
        </is>
      </c>
    </row>
    <row r="609">
      <c r="Y609" t="inlineStr">
        <is>
          <t>Guaitarilla</t>
        </is>
      </c>
      <c r="Z609" t="inlineStr">
        <is>
          <t>Chaucha</t>
        </is>
      </c>
    </row>
    <row r="610">
      <c r="Y610" t="inlineStr">
        <is>
          <t>Guaitarilla</t>
        </is>
      </c>
      <c r="Z610" t="inlineStr">
        <is>
          <t>El Rosal</t>
        </is>
      </c>
    </row>
    <row r="611">
      <c r="Y611" t="inlineStr">
        <is>
          <t>Guaitarilla</t>
        </is>
      </c>
      <c r="Z611" t="inlineStr">
        <is>
          <t>La Concha</t>
        </is>
      </c>
    </row>
    <row r="612">
      <c r="Y612" t="inlineStr">
        <is>
          <t>Guaitarilla</t>
        </is>
      </c>
      <c r="Z612" t="inlineStr">
        <is>
          <t>Portachuelo</t>
        </is>
      </c>
    </row>
    <row r="613">
      <c r="Y613" t="inlineStr">
        <is>
          <t>Gualmatán</t>
        </is>
      </c>
      <c r="Z613" t="inlineStr">
        <is>
          <t>Charandú</t>
        </is>
      </c>
    </row>
    <row r="614">
      <c r="Y614" t="inlineStr">
        <is>
          <t>Gualmatán</t>
        </is>
      </c>
      <c r="Z614" t="inlineStr">
        <is>
          <t>Cofradia</t>
        </is>
      </c>
    </row>
    <row r="615">
      <c r="Y615" t="inlineStr">
        <is>
          <t>Gualmatán</t>
        </is>
      </c>
      <c r="Z615" t="inlineStr">
        <is>
          <t>Cuatis</t>
        </is>
      </c>
    </row>
    <row r="616">
      <c r="Y616" t="inlineStr">
        <is>
          <t>Gualmatán</t>
        </is>
      </c>
      <c r="Z616" t="inlineStr">
        <is>
          <t>Dos Caminos</t>
        </is>
      </c>
    </row>
    <row r="617">
      <c r="Y617" t="inlineStr">
        <is>
          <t>Gualmatán</t>
        </is>
      </c>
      <c r="Z617" t="inlineStr">
        <is>
          <t>El Arrayán</t>
        </is>
      </c>
    </row>
    <row r="618">
      <c r="Y618" t="inlineStr">
        <is>
          <t>Gualmatán</t>
        </is>
      </c>
      <c r="Z618" t="inlineStr">
        <is>
          <t>El Carmelo</t>
        </is>
      </c>
    </row>
    <row r="619">
      <c r="Y619" t="inlineStr">
        <is>
          <t>Gualmatán</t>
        </is>
      </c>
      <c r="Z619" t="inlineStr">
        <is>
          <t>El Líbano</t>
        </is>
      </c>
    </row>
    <row r="620">
      <c r="Y620" t="inlineStr">
        <is>
          <t>Gualmatán</t>
        </is>
      </c>
      <c r="Z620" t="inlineStr">
        <is>
          <t>El Recuerdo</t>
        </is>
      </c>
    </row>
    <row r="621">
      <c r="Y621" t="inlineStr">
        <is>
          <t>Gualmatán</t>
        </is>
      </c>
      <c r="Z621" t="inlineStr">
        <is>
          <t>La Cruz</t>
        </is>
      </c>
    </row>
    <row r="622">
      <c r="Y622" t="inlineStr">
        <is>
          <t>Gualmatán</t>
        </is>
      </c>
      <c r="Z622" t="inlineStr">
        <is>
          <t>La Floresta</t>
        </is>
      </c>
    </row>
    <row r="623">
      <c r="Y623" t="inlineStr">
        <is>
          <t>Gualmatán</t>
        </is>
      </c>
      <c r="Z623" t="inlineStr">
        <is>
          <t>Loma del Medio</t>
        </is>
      </c>
    </row>
    <row r="624">
      <c r="Y624" t="inlineStr">
        <is>
          <t>Gualmatán</t>
        </is>
      </c>
      <c r="Z624" t="inlineStr">
        <is>
          <t>Los Cedros</t>
        </is>
      </c>
    </row>
    <row r="625">
      <c r="Y625" t="inlineStr">
        <is>
          <t>Gualmatán</t>
        </is>
      </c>
      <c r="Z625" t="inlineStr">
        <is>
          <t>Panecillo</t>
        </is>
      </c>
    </row>
    <row r="626">
      <c r="Y626" t="inlineStr">
        <is>
          <t>Gualmatán</t>
        </is>
      </c>
      <c r="Z626" t="inlineStr">
        <is>
          <t>San Antonio</t>
        </is>
      </c>
    </row>
    <row r="627">
      <c r="Y627" t="inlineStr">
        <is>
          <t>Gualmatán</t>
        </is>
      </c>
      <c r="Z627" t="inlineStr">
        <is>
          <t>Yale</t>
        </is>
      </c>
    </row>
    <row r="628">
      <c r="Y628" t="inlineStr">
        <is>
          <t>Iles</t>
        </is>
      </c>
      <c r="Z628" t="inlineStr">
        <is>
          <t>Alto del Rey</t>
        </is>
      </c>
    </row>
    <row r="629">
      <c r="Y629" t="inlineStr">
        <is>
          <t>Iles</t>
        </is>
      </c>
      <c r="Z629" t="inlineStr">
        <is>
          <t>Bolívar</t>
        </is>
      </c>
    </row>
    <row r="630">
      <c r="Y630" t="inlineStr">
        <is>
          <t>Iles</t>
        </is>
      </c>
      <c r="Z630" t="inlineStr">
        <is>
          <t>Capulí</t>
        </is>
      </c>
    </row>
    <row r="631">
      <c r="Y631" t="inlineStr">
        <is>
          <t>Iles</t>
        </is>
      </c>
      <c r="Z631" t="inlineStr">
        <is>
          <t>El Carmen</t>
        </is>
      </c>
    </row>
    <row r="632">
      <c r="Y632" t="inlineStr">
        <is>
          <t>Iles</t>
        </is>
      </c>
      <c r="Z632" t="inlineStr">
        <is>
          <t>El Común</t>
        </is>
      </c>
    </row>
    <row r="633">
      <c r="Y633" t="inlineStr">
        <is>
          <t>Iles</t>
        </is>
      </c>
      <c r="Z633" t="inlineStr">
        <is>
          <t>El Mirador</t>
        </is>
      </c>
    </row>
    <row r="634">
      <c r="Y634" t="inlineStr">
        <is>
          <t>Iles</t>
        </is>
      </c>
      <c r="Z634" t="inlineStr">
        <is>
          <t>El Porvenir</t>
        </is>
      </c>
    </row>
    <row r="635">
      <c r="Y635" t="inlineStr">
        <is>
          <t>Iles</t>
        </is>
      </c>
      <c r="Z635" t="inlineStr">
        <is>
          <t>El Rosario</t>
        </is>
      </c>
    </row>
    <row r="636">
      <c r="Y636" t="inlineStr">
        <is>
          <t>Iles</t>
        </is>
      </c>
      <c r="Z636" t="inlineStr">
        <is>
          <t>Iscuazan</t>
        </is>
      </c>
    </row>
    <row r="637">
      <c r="Y637" t="inlineStr">
        <is>
          <t>Iles</t>
        </is>
      </c>
      <c r="Z637" t="inlineStr">
        <is>
          <t>La Esperanza</t>
        </is>
      </c>
    </row>
    <row r="638">
      <c r="Y638" t="inlineStr">
        <is>
          <t>Iles</t>
        </is>
      </c>
      <c r="Z638" t="inlineStr">
        <is>
          <t>Loma Alta</t>
        </is>
      </c>
    </row>
    <row r="639">
      <c r="Y639" t="inlineStr">
        <is>
          <t>Iles</t>
        </is>
      </c>
      <c r="Z639" t="inlineStr">
        <is>
          <t>Loma de Argotys</t>
        </is>
      </c>
    </row>
    <row r="640">
      <c r="Y640" t="inlineStr">
        <is>
          <t>Iles</t>
        </is>
      </c>
      <c r="Z640" t="inlineStr">
        <is>
          <t>Rosario Occidente</t>
        </is>
      </c>
    </row>
    <row r="641">
      <c r="Y641" t="inlineStr">
        <is>
          <t>Iles</t>
        </is>
      </c>
      <c r="Z641" t="inlineStr">
        <is>
          <t>San Antonio</t>
        </is>
      </c>
    </row>
    <row r="642">
      <c r="Y642" t="inlineStr">
        <is>
          <t>Iles</t>
        </is>
      </c>
      <c r="Z642" t="inlineStr">
        <is>
          <t>San Francisco</t>
        </is>
      </c>
    </row>
    <row r="643">
      <c r="Y643" t="inlineStr">
        <is>
          <t>Iles</t>
        </is>
      </c>
      <c r="Z643" t="inlineStr">
        <is>
          <t>San Javier</t>
        </is>
      </c>
    </row>
    <row r="644">
      <c r="Y644" t="inlineStr">
        <is>
          <t>Iles</t>
        </is>
      </c>
      <c r="Z644" t="inlineStr">
        <is>
          <t>Tablón Alto</t>
        </is>
      </c>
    </row>
    <row r="645">
      <c r="Y645" t="inlineStr">
        <is>
          <t>Iles</t>
        </is>
      </c>
      <c r="Z645" t="inlineStr">
        <is>
          <t>Tablón Bajo</t>
        </is>
      </c>
    </row>
    <row r="646">
      <c r="Y646" t="inlineStr">
        <is>
          <t>Iles</t>
        </is>
      </c>
      <c r="Z646" t="inlineStr">
        <is>
          <t>Tamburan Urbano</t>
        </is>
      </c>
    </row>
    <row r="647">
      <c r="Y647" t="inlineStr">
        <is>
          <t>Iles</t>
        </is>
      </c>
      <c r="Z647" t="inlineStr">
        <is>
          <t>Villa Nueva</t>
        </is>
      </c>
    </row>
    <row r="648">
      <c r="Y648" t="inlineStr">
        <is>
          <t>Iles</t>
        </is>
      </c>
      <c r="Z648" t="inlineStr">
        <is>
          <t>Yarqui</t>
        </is>
      </c>
    </row>
    <row r="649">
      <c r="Y649" t="inlineStr">
        <is>
          <t>Imués</t>
        </is>
      </c>
      <c r="Z649" t="inlineStr">
        <is>
          <t>Almag</t>
        </is>
      </c>
    </row>
    <row r="650">
      <c r="Y650" t="inlineStr">
        <is>
          <t>Imués</t>
        </is>
      </c>
      <c r="Z650" t="inlineStr">
        <is>
          <t>Bellavista</t>
        </is>
      </c>
    </row>
    <row r="651">
      <c r="Y651" t="inlineStr">
        <is>
          <t>Imués</t>
        </is>
      </c>
      <c r="Z651" t="inlineStr">
        <is>
          <t>Campo Alegre</t>
        </is>
      </c>
    </row>
    <row r="652">
      <c r="Y652" t="inlineStr">
        <is>
          <t>Imués</t>
        </is>
      </c>
      <c r="Z652" t="inlineStr">
        <is>
          <t>Camuestes</t>
        </is>
      </c>
    </row>
    <row r="653">
      <c r="Y653" t="inlineStr">
        <is>
          <t>Imués</t>
        </is>
      </c>
      <c r="Z653" t="inlineStr">
        <is>
          <t>Chirristes</t>
        </is>
      </c>
    </row>
    <row r="654">
      <c r="Y654" t="inlineStr">
        <is>
          <t>Imués</t>
        </is>
      </c>
      <c r="Z654" t="inlineStr">
        <is>
          <t>Cuarchud</t>
        </is>
      </c>
    </row>
    <row r="655">
      <c r="Y655" t="inlineStr">
        <is>
          <t>Imués</t>
        </is>
      </c>
      <c r="Z655" t="inlineStr">
        <is>
          <t>El Alizal</t>
        </is>
      </c>
    </row>
    <row r="656">
      <c r="Y656" t="inlineStr">
        <is>
          <t>Imués</t>
        </is>
      </c>
      <c r="Z656" t="inlineStr">
        <is>
          <t>El Carmen</t>
        </is>
      </c>
    </row>
    <row r="657">
      <c r="Y657" t="inlineStr">
        <is>
          <t>Imués</t>
        </is>
      </c>
      <c r="Z657" t="inlineStr">
        <is>
          <t>El Pedregal</t>
        </is>
      </c>
    </row>
    <row r="658">
      <c r="Y658" t="inlineStr">
        <is>
          <t>Imués</t>
        </is>
      </c>
      <c r="Z658" t="inlineStr">
        <is>
          <t>El Portachuelo</t>
        </is>
      </c>
    </row>
    <row r="659">
      <c r="Y659" t="inlineStr">
        <is>
          <t>Imués</t>
        </is>
      </c>
      <c r="Z659" t="inlineStr">
        <is>
          <t>El Tablon</t>
        </is>
      </c>
    </row>
    <row r="660">
      <c r="Y660" t="inlineStr">
        <is>
          <t>Imués</t>
        </is>
      </c>
      <c r="Z660" t="inlineStr">
        <is>
          <t>Imbued</t>
        </is>
      </c>
    </row>
    <row r="661">
      <c r="Y661" t="inlineStr">
        <is>
          <t>Imués</t>
        </is>
      </c>
      <c r="Z661" t="inlineStr">
        <is>
          <t>Pescadillo</t>
        </is>
      </c>
    </row>
    <row r="662">
      <c r="Y662" t="inlineStr">
        <is>
          <t>Imués</t>
        </is>
      </c>
      <c r="Z662" t="inlineStr">
        <is>
          <t>Pilcuan</t>
        </is>
      </c>
    </row>
    <row r="663">
      <c r="Y663" t="inlineStr">
        <is>
          <t>Imués</t>
        </is>
      </c>
      <c r="Z663" t="inlineStr">
        <is>
          <t>Pueblo</t>
        </is>
      </c>
    </row>
    <row r="664">
      <c r="Y664" t="inlineStr">
        <is>
          <t>Imués</t>
        </is>
      </c>
      <c r="Z664" t="inlineStr">
        <is>
          <t>San Buenaventura</t>
        </is>
      </c>
    </row>
    <row r="665">
      <c r="Y665" t="inlineStr">
        <is>
          <t>Imués</t>
        </is>
      </c>
      <c r="Z665" t="inlineStr">
        <is>
          <t>San Isidro</t>
        </is>
      </c>
    </row>
    <row r="666">
      <c r="Y666" t="inlineStr">
        <is>
          <t>Imués</t>
        </is>
      </c>
      <c r="Z666" t="inlineStr">
        <is>
          <t>San José</t>
        </is>
      </c>
    </row>
    <row r="667">
      <c r="Y667" t="inlineStr">
        <is>
          <t>Imués</t>
        </is>
      </c>
      <c r="Z667" t="inlineStr">
        <is>
          <t>San Pedro</t>
        </is>
      </c>
    </row>
    <row r="668">
      <c r="Y668" t="inlineStr">
        <is>
          <t>Imués</t>
        </is>
      </c>
      <c r="Z668" t="inlineStr">
        <is>
          <t>Santa Ana</t>
        </is>
      </c>
    </row>
    <row r="669">
      <c r="Y669" t="inlineStr">
        <is>
          <t>Imués</t>
        </is>
      </c>
      <c r="Z669" t="inlineStr">
        <is>
          <t>Santa Rosa</t>
        </is>
      </c>
    </row>
    <row r="670">
      <c r="Y670" t="inlineStr">
        <is>
          <t>Imués</t>
        </is>
      </c>
      <c r="Z670" t="inlineStr">
        <is>
          <t>Silamag</t>
        </is>
      </c>
    </row>
    <row r="671">
      <c r="Y671" t="inlineStr">
        <is>
          <t>Ipiales</t>
        </is>
      </c>
      <c r="Z671" t="inlineStr">
        <is>
          <t>Alto Villarazo</t>
        </is>
      </c>
    </row>
    <row r="672">
      <c r="Y672" t="inlineStr">
        <is>
          <t>Ipiales</t>
        </is>
      </c>
      <c r="Z672" t="inlineStr">
        <is>
          <t>Arrayan</t>
        </is>
      </c>
    </row>
    <row r="673">
      <c r="Y673" t="inlineStr">
        <is>
          <t>Ipiales</t>
        </is>
      </c>
      <c r="Z673" t="inlineStr">
        <is>
          <t>Azuay</t>
        </is>
      </c>
    </row>
    <row r="674">
      <c r="Y674" t="inlineStr">
        <is>
          <t>Ipiales</t>
        </is>
      </c>
      <c r="Z674" t="inlineStr">
        <is>
          <t>Chiranques</t>
        </is>
      </c>
    </row>
    <row r="675">
      <c r="Y675" t="inlineStr">
        <is>
          <t>Ipiales</t>
        </is>
      </c>
      <c r="Z675" t="inlineStr">
        <is>
          <t>El Cocuy</t>
        </is>
      </c>
    </row>
    <row r="676">
      <c r="Y676" t="inlineStr">
        <is>
          <t>Ipiales</t>
        </is>
      </c>
      <c r="Z676" t="inlineStr">
        <is>
          <t>El Palmar</t>
        </is>
      </c>
    </row>
    <row r="677">
      <c r="Y677" t="inlineStr">
        <is>
          <t>Ipiales</t>
        </is>
      </c>
      <c r="Z677" t="inlineStr">
        <is>
          <t>El Telis</t>
        </is>
      </c>
    </row>
    <row r="678">
      <c r="Y678" t="inlineStr">
        <is>
          <t>Ipiales</t>
        </is>
      </c>
      <c r="Z678" t="inlineStr">
        <is>
          <t>Exflorida</t>
        </is>
      </c>
    </row>
    <row r="679">
      <c r="Y679" t="inlineStr">
        <is>
          <t>Ipiales</t>
        </is>
      </c>
      <c r="Z679" t="inlineStr">
        <is>
          <t>Granja Agricola la Paz</t>
        </is>
      </c>
    </row>
    <row r="680">
      <c r="Y680" t="inlineStr">
        <is>
          <t>Ipiales</t>
        </is>
      </c>
      <c r="Z680" t="inlineStr">
        <is>
          <t>Guaimaral</t>
        </is>
      </c>
    </row>
    <row r="681">
      <c r="Y681" t="inlineStr">
        <is>
          <t>Ipiales</t>
        </is>
      </c>
      <c r="Z681" t="inlineStr">
        <is>
          <t>La Orejuela</t>
        </is>
      </c>
    </row>
    <row r="682">
      <c r="Y682" t="inlineStr">
        <is>
          <t>Ipiales</t>
        </is>
      </c>
      <c r="Z682" t="inlineStr">
        <is>
          <t>La Playa</t>
        </is>
      </c>
    </row>
    <row r="683">
      <c r="Y683" t="inlineStr">
        <is>
          <t>Ipiales</t>
        </is>
      </c>
      <c r="Z683" t="inlineStr">
        <is>
          <t>Las Animas</t>
        </is>
      </c>
    </row>
    <row r="684">
      <c r="Y684" t="inlineStr">
        <is>
          <t>Ipiales</t>
        </is>
      </c>
      <c r="Z684" t="inlineStr">
        <is>
          <t>Llano Grande Alto</t>
        </is>
      </c>
    </row>
    <row r="685">
      <c r="Y685" t="inlineStr">
        <is>
          <t>Ipiales</t>
        </is>
      </c>
      <c r="Z685" t="inlineStr">
        <is>
          <t>Lllanitos</t>
        </is>
      </c>
    </row>
    <row r="686">
      <c r="Y686" t="inlineStr">
        <is>
          <t>Ipiales</t>
        </is>
      </c>
      <c r="Z686" t="inlineStr">
        <is>
          <t>Los Alpes</t>
        </is>
      </c>
    </row>
    <row r="687">
      <c r="Y687" t="inlineStr">
        <is>
          <t>Ipiales</t>
        </is>
      </c>
      <c r="Z687" t="inlineStr">
        <is>
          <t>Los Marcos</t>
        </is>
      </c>
    </row>
    <row r="688">
      <c r="Y688" t="inlineStr">
        <is>
          <t>Ipiales</t>
        </is>
      </c>
      <c r="Z688" t="inlineStr">
        <is>
          <t>Miraflores</t>
        </is>
      </c>
    </row>
    <row r="689">
      <c r="Y689" t="inlineStr">
        <is>
          <t>Ipiales</t>
        </is>
      </c>
      <c r="Z689" t="inlineStr">
        <is>
          <t>Pablo Blanco</t>
        </is>
      </c>
    </row>
    <row r="690">
      <c r="Y690" t="inlineStr">
        <is>
          <t>Ipiales</t>
        </is>
      </c>
      <c r="Z690" t="inlineStr">
        <is>
          <t>Penjamo</t>
        </is>
      </c>
    </row>
    <row r="691">
      <c r="Y691" t="inlineStr">
        <is>
          <t>Ipiales</t>
        </is>
      </c>
      <c r="Z691" t="inlineStr">
        <is>
          <t>Pirral</t>
        </is>
      </c>
    </row>
    <row r="692">
      <c r="Y692" t="inlineStr">
        <is>
          <t>Ipiales</t>
        </is>
      </c>
      <c r="Z692" t="inlineStr">
        <is>
          <t>San Julian</t>
        </is>
      </c>
    </row>
    <row r="693">
      <c r="Y693" t="inlineStr">
        <is>
          <t>Ipiales</t>
        </is>
      </c>
      <c r="Z693" t="inlineStr">
        <is>
          <t>Sin Informacion</t>
        </is>
      </c>
    </row>
    <row r="694">
      <c r="Y694" t="inlineStr">
        <is>
          <t>Ipiales</t>
        </is>
      </c>
      <c r="Z694" t="inlineStr">
        <is>
          <t>Versalles</t>
        </is>
      </c>
    </row>
    <row r="695">
      <c r="Y695" t="inlineStr">
        <is>
          <t>Ipiales</t>
        </is>
      </c>
      <c r="Z695" t="inlineStr">
        <is>
          <t>Villa de Leyva</t>
        </is>
      </c>
    </row>
    <row r="696">
      <c r="Y696" t="inlineStr">
        <is>
          <t>Ipiales</t>
        </is>
      </c>
      <c r="Z696" t="inlineStr">
        <is>
          <t>Villa Flor</t>
        </is>
      </c>
    </row>
    <row r="697">
      <c r="Y697" t="inlineStr">
        <is>
          <t>Ipiales</t>
        </is>
      </c>
      <c r="Z697" t="inlineStr">
        <is>
          <t>Villa Nueva</t>
        </is>
      </c>
    </row>
    <row r="698">
      <c r="Y698" t="inlineStr">
        <is>
          <t>Ipiales</t>
        </is>
      </c>
      <c r="Z698" t="inlineStr">
        <is>
          <t>Villavicencio</t>
        </is>
      </c>
    </row>
    <row r="699">
      <c r="Y699" t="inlineStr">
        <is>
          <t>La Cruz</t>
        </is>
      </c>
      <c r="Z699" t="inlineStr">
        <is>
          <t>Alto Cabuyales</t>
        </is>
      </c>
    </row>
    <row r="700">
      <c r="Y700" t="inlineStr">
        <is>
          <t>La Cruz</t>
        </is>
      </c>
      <c r="Z700" t="inlineStr">
        <is>
          <t>Alto de la Cumbre</t>
        </is>
      </c>
    </row>
    <row r="701">
      <c r="Y701" t="inlineStr">
        <is>
          <t>La Cruz</t>
        </is>
      </c>
      <c r="Z701" t="inlineStr">
        <is>
          <t>Alto de Ledezmas</t>
        </is>
      </c>
    </row>
    <row r="702">
      <c r="Y702" t="inlineStr">
        <is>
          <t>La Cruz</t>
        </is>
      </c>
      <c r="Z702" t="inlineStr">
        <is>
          <t>Alto Sano</t>
        </is>
      </c>
    </row>
    <row r="703">
      <c r="Y703" t="inlineStr">
        <is>
          <t>La Cruz</t>
        </is>
      </c>
      <c r="Z703" t="inlineStr">
        <is>
          <t>Aposento</t>
        </is>
      </c>
    </row>
    <row r="704">
      <c r="Y704" t="inlineStr">
        <is>
          <t>La Cruz</t>
        </is>
      </c>
      <c r="Z704" t="inlineStr">
        <is>
          <t>Buena Vista</t>
        </is>
      </c>
    </row>
    <row r="705">
      <c r="Y705" t="inlineStr">
        <is>
          <t>La Cruz</t>
        </is>
      </c>
      <c r="Z705" t="inlineStr">
        <is>
          <t>Cabuyales</t>
        </is>
      </c>
    </row>
    <row r="706">
      <c r="Y706" t="inlineStr">
        <is>
          <t>La Cruz</t>
        </is>
      </c>
      <c r="Z706" t="inlineStr">
        <is>
          <t>Campo Alegre</t>
        </is>
      </c>
    </row>
    <row r="707">
      <c r="Y707" t="inlineStr">
        <is>
          <t>La Cruz</t>
        </is>
      </c>
      <c r="Z707" t="inlineStr">
        <is>
          <t>Campo Bello</t>
        </is>
      </c>
    </row>
    <row r="708">
      <c r="Y708" t="inlineStr">
        <is>
          <t>La Cruz</t>
        </is>
      </c>
      <c r="Z708" t="inlineStr">
        <is>
          <t>Cofradia</t>
        </is>
      </c>
    </row>
    <row r="709">
      <c r="Y709" t="inlineStr">
        <is>
          <t>La Cruz</t>
        </is>
      </c>
      <c r="Z709" t="inlineStr">
        <is>
          <t>El Carmen</t>
        </is>
      </c>
    </row>
    <row r="710">
      <c r="Y710" t="inlineStr">
        <is>
          <t>La Cruz</t>
        </is>
      </c>
      <c r="Z710" t="inlineStr">
        <is>
          <t>El Chamburo</t>
        </is>
      </c>
    </row>
    <row r="711">
      <c r="Y711" t="inlineStr">
        <is>
          <t>La Cruz</t>
        </is>
      </c>
      <c r="Z711" t="inlineStr">
        <is>
          <t>El Hatico</t>
        </is>
      </c>
    </row>
    <row r="712">
      <c r="Y712" t="inlineStr">
        <is>
          <t>La Cruz</t>
        </is>
      </c>
      <c r="Z712" t="inlineStr">
        <is>
          <t>El Palmal</t>
        </is>
      </c>
    </row>
    <row r="713">
      <c r="Y713" t="inlineStr">
        <is>
          <t>La Cruz</t>
        </is>
      </c>
      <c r="Z713" t="inlineStr">
        <is>
          <t>El Placer</t>
        </is>
      </c>
    </row>
    <row r="714">
      <c r="Y714" t="inlineStr">
        <is>
          <t>La Cruz</t>
        </is>
      </c>
      <c r="Z714" t="inlineStr">
        <is>
          <t>El Púlpito</t>
        </is>
      </c>
    </row>
    <row r="715">
      <c r="Y715" t="inlineStr">
        <is>
          <t>La Cruz</t>
        </is>
      </c>
      <c r="Z715" t="inlineStr">
        <is>
          <t>El Salado</t>
        </is>
      </c>
    </row>
    <row r="716">
      <c r="Y716" t="inlineStr">
        <is>
          <t>La Cruz</t>
        </is>
      </c>
      <c r="Z716" t="inlineStr">
        <is>
          <t>El Tabor</t>
        </is>
      </c>
    </row>
    <row r="717">
      <c r="Y717" t="inlineStr">
        <is>
          <t>La Cruz</t>
        </is>
      </c>
      <c r="Z717" t="inlineStr">
        <is>
          <t>El Troje</t>
        </is>
      </c>
    </row>
    <row r="718">
      <c r="Y718" t="inlineStr">
        <is>
          <t>La Cruz</t>
        </is>
      </c>
      <c r="Z718" t="inlineStr">
        <is>
          <t>Escandoy</t>
        </is>
      </c>
    </row>
    <row r="719">
      <c r="Y719" t="inlineStr">
        <is>
          <t>La Cruz</t>
        </is>
      </c>
      <c r="Z719" t="inlineStr">
        <is>
          <t>Juan Lopez</t>
        </is>
      </c>
    </row>
    <row r="720">
      <c r="Y720" t="inlineStr">
        <is>
          <t>La Cruz</t>
        </is>
      </c>
      <c r="Z720" t="inlineStr">
        <is>
          <t>La Cabaña</t>
        </is>
      </c>
    </row>
    <row r="721">
      <c r="Y721" t="inlineStr">
        <is>
          <t>La Cruz</t>
        </is>
      </c>
      <c r="Z721" t="inlineStr">
        <is>
          <t>La Cañada</t>
        </is>
      </c>
    </row>
    <row r="722">
      <c r="Y722" t="inlineStr">
        <is>
          <t>La Cruz</t>
        </is>
      </c>
      <c r="Z722" t="inlineStr">
        <is>
          <t>La Cienaga</t>
        </is>
      </c>
    </row>
    <row r="723">
      <c r="Y723" t="inlineStr">
        <is>
          <t>La Cruz</t>
        </is>
      </c>
      <c r="Z723" t="inlineStr">
        <is>
          <t>La Cuchilla</t>
        </is>
      </c>
    </row>
    <row r="724">
      <c r="Y724" t="inlineStr">
        <is>
          <t>La Cruz</t>
        </is>
      </c>
      <c r="Z724" t="inlineStr">
        <is>
          <t>La Estancia</t>
        </is>
      </c>
    </row>
    <row r="725">
      <c r="Y725" t="inlineStr">
        <is>
          <t>La Cruz</t>
        </is>
      </c>
      <c r="Z725" t="inlineStr">
        <is>
          <t>La Laguna</t>
        </is>
      </c>
    </row>
    <row r="726">
      <c r="Y726" t="inlineStr">
        <is>
          <t>La Cruz</t>
        </is>
      </c>
      <c r="Z726" t="inlineStr">
        <is>
          <t>La Loma</t>
        </is>
      </c>
    </row>
    <row r="727">
      <c r="Y727" t="inlineStr">
        <is>
          <t>La Cruz</t>
        </is>
      </c>
      <c r="Z727" t="inlineStr">
        <is>
          <t>La Palma</t>
        </is>
      </c>
    </row>
    <row r="728">
      <c r="Y728" t="inlineStr">
        <is>
          <t>La Cruz</t>
        </is>
      </c>
      <c r="Z728" t="inlineStr">
        <is>
          <t>La Vega</t>
        </is>
      </c>
    </row>
    <row r="729">
      <c r="Y729" t="inlineStr">
        <is>
          <t>La Cruz</t>
        </is>
      </c>
      <c r="Z729" t="inlineStr">
        <is>
          <t>La Vega - la Planta</t>
        </is>
      </c>
    </row>
    <row r="730">
      <c r="Y730" t="inlineStr">
        <is>
          <t>La Cruz</t>
        </is>
      </c>
      <c r="Z730" t="inlineStr">
        <is>
          <t>Las Animas</t>
        </is>
      </c>
    </row>
    <row r="731">
      <c r="Y731" t="inlineStr">
        <is>
          <t>La Cruz</t>
        </is>
      </c>
      <c r="Z731" t="inlineStr">
        <is>
          <t>Las Aradas</t>
        </is>
      </c>
    </row>
    <row r="732">
      <c r="Y732" t="inlineStr">
        <is>
          <t>La Cruz</t>
        </is>
      </c>
      <c r="Z732" t="inlineStr">
        <is>
          <t>Llanogrande</t>
        </is>
      </c>
    </row>
    <row r="733">
      <c r="Y733" t="inlineStr">
        <is>
          <t>La Cruz</t>
        </is>
      </c>
      <c r="Z733" t="inlineStr">
        <is>
          <t>Loma Alta</t>
        </is>
      </c>
    </row>
    <row r="734">
      <c r="Y734" t="inlineStr">
        <is>
          <t>La Cruz</t>
        </is>
      </c>
      <c r="Z734" t="inlineStr">
        <is>
          <t>Loma Larga</t>
        </is>
      </c>
    </row>
    <row r="735">
      <c r="Y735" t="inlineStr">
        <is>
          <t>La Cruz</t>
        </is>
      </c>
      <c r="Z735" t="inlineStr">
        <is>
          <t>Moncayo</t>
        </is>
      </c>
    </row>
    <row r="736">
      <c r="Y736" t="inlineStr">
        <is>
          <t>La Cruz</t>
        </is>
      </c>
      <c r="Z736" t="inlineStr">
        <is>
          <t>Paramito</t>
        </is>
      </c>
    </row>
    <row r="737">
      <c r="Y737" t="inlineStr">
        <is>
          <t>La Cruz</t>
        </is>
      </c>
      <c r="Z737" t="inlineStr">
        <is>
          <t>Pazizara</t>
        </is>
      </c>
    </row>
    <row r="738">
      <c r="Y738" t="inlineStr">
        <is>
          <t>La Cruz</t>
        </is>
      </c>
      <c r="Z738" t="inlineStr">
        <is>
          <t>Plazuelas</t>
        </is>
      </c>
    </row>
    <row r="739">
      <c r="Y739" t="inlineStr">
        <is>
          <t>La Cruz</t>
        </is>
      </c>
      <c r="Z739" t="inlineStr">
        <is>
          <t>San Antonio</t>
        </is>
      </c>
    </row>
    <row r="740">
      <c r="Y740" t="inlineStr">
        <is>
          <t>La Cruz</t>
        </is>
      </c>
      <c r="Z740" t="inlineStr">
        <is>
          <t>San Francisco</t>
        </is>
      </c>
    </row>
    <row r="741">
      <c r="Y741" t="inlineStr">
        <is>
          <t>La Cruz</t>
        </is>
      </c>
      <c r="Z741" t="inlineStr">
        <is>
          <t>San Gerardo</t>
        </is>
      </c>
    </row>
    <row r="742">
      <c r="Y742" t="inlineStr">
        <is>
          <t>La Cruz</t>
        </is>
      </c>
      <c r="Z742" t="inlineStr">
        <is>
          <t>San Rafael</t>
        </is>
      </c>
    </row>
    <row r="743">
      <c r="Y743" t="inlineStr">
        <is>
          <t>La Cruz</t>
        </is>
      </c>
      <c r="Z743" t="inlineStr">
        <is>
          <t>Tajumbina</t>
        </is>
      </c>
    </row>
    <row r="744">
      <c r="Y744" t="inlineStr">
        <is>
          <t>La Cruz</t>
        </is>
      </c>
      <c r="Z744" t="inlineStr">
        <is>
          <t>Valdivia</t>
        </is>
      </c>
    </row>
    <row r="745">
      <c r="Y745" t="inlineStr">
        <is>
          <t>La Florida</t>
        </is>
      </c>
      <c r="Z745" t="inlineStr">
        <is>
          <t>Alto Rodeo</t>
        </is>
      </c>
    </row>
    <row r="746">
      <c r="Y746" t="inlineStr">
        <is>
          <t>La Florida</t>
        </is>
      </c>
      <c r="Z746" t="inlineStr">
        <is>
          <t>Barranco</t>
        </is>
      </c>
    </row>
    <row r="747">
      <c r="Y747" t="inlineStr">
        <is>
          <t>La Florida</t>
        </is>
      </c>
      <c r="Z747" t="inlineStr">
        <is>
          <t>Barranquito</t>
        </is>
      </c>
    </row>
    <row r="748">
      <c r="Y748" t="inlineStr">
        <is>
          <t>La Florida</t>
        </is>
      </c>
      <c r="Z748" t="inlineStr">
        <is>
          <t>Bellavista</t>
        </is>
      </c>
    </row>
    <row r="749">
      <c r="Y749" t="inlineStr">
        <is>
          <t>La Florida</t>
        </is>
      </c>
      <c r="Z749" t="inlineStr">
        <is>
          <t>Cacique Alto</t>
        </is>
      </c>
    </row>
    <row r="750">
      <c r="Y750" t="inlineStr">
        <is>
          <t>La Florida</t>
        </is>
      </c>
      <c r="Z750" t="inlineStr">
        <is>
          <t>Cacique Bajo</t>
        </is>
      </c>
    </row>
    <row r="751">
      <c r="Y751" t="inlineStr">
        <is>
          <t>La Florida</t>
        </is>
      </c>
      <c r="Z751" t="inlineStr">
        <is>
          <t>Catauca</t>
        </is>
      </c>
    </row>
    <row r="752">
      <c r="Y752" t="inlineStr">
        <is>
          <t>La Florida</t>
        </is>
      </c>
      <c r="Z752" t="inlineStr">
        <is>
          <t>Catauquilla</t>
        </is>
      </c>
    </row>
    <row r="753">
      <c r="Y753" t="inlineStr">
        <is>
          <t>La Florida</t>
        </is>
      </c>
      <c r="Z753" t="inlineStr">
        <is>
          <t>Chaupiloma</t>
        </is>
      </c>
    </row>
    <row r="754">
      <c r="Y754" t="inlineStr">
        <is>
          <t>La Florida</t>
        </is>
      </c>
      <c r="Z754" t="inlineStr">
        <is>
          <t>Chilcal</t>
        </is>
      </c>
    </row>
    <row r="755">
      <c r="Y755" t="inlineStr">
        <is>
          <t>La Florida</t>
        </is>
      </c>
      <c r="Z755" t="inlineStr">
        <is>
          <t>Chiquito</t>
        </is>
      </c>
    </row>
    <row r="756">
      <c r="Y756" t="inlineStr">
        <is>
          <t>La Florida</t>
        </is>
      </c>
      <c r="Z756" t="inlineStr">
        <is>
          <t>Duarte Alto</t>
        </is>
      </c>
    </row>
    <row r="757">
      <c r="Y757" t="inlineStr">
        <is>
          <t>La Florida</t>
        </is>
      </c>
      <c r="Z757" t="inlineStr">
        <is>
          <t>Duarte Bajo</t>
        </is>
      </c>
    </row>
    <row r="758">
      <c r="Y758" t="inlineStr">
        <is>
          <t>La Florida</t>
        </is>
      </c>
      <c r="Z758" t="inlineStr">
        <is>
          <t>El Maco</t>
        </is>
      </c>
    </row>
    <row r="759">
      <c r="Y759" t="inlineStr">
        <is>
          <t>La Florida</t>
        </is>
      </c>
      <c r="Z759" t="inlineStr">
        <is>
          <t>El Placer</t>
        </is>
      </c>
    </row>
    <row r="760">
      <c r="Y760" t="inlineStr">
        <is>
          <t>La Florida</t>
        </is>
      </c>
      <c r="Z760" t="inlineStr">
        <is>
          <t>El Rodeo</t>
        </is>
      </c>
    </row>
    <row r="761">
      <c r="Y761" t="inlineStr">
        <is>
          <t>La Florida</t>
        </is>
      </c>
      <c r="Z761" t="inlineStr">
        <is>
          <t>Garcés Alto</t>
        </is>
      </c>
    </row>
    <row r="762">
      <c r="Y762" t="inlineStr">
        <is>
          <t>La Florida</t>
        </is>
      </c>
      <c r="Z762" t="inlineStr">
        <is>
          <t>Garcés Bajo</t>
        </is>
      </c>
    </row>
    <row r="763">
      <c r="Y763" t="inlineStr">
        <is>
          <t>La Florida</t>
        </is>
      </c>
      <c r="Z763" t="inlineStr">
        <is>
          <t>Granadillo</t>
        </is>
      </c>
    </row>
    <row r="764">
      <c r="Y764" t="inlineStr">
        <is>
          <t>La Florida</t>
        </is>
      </c>
      <c r="Z764" t="inlineStr">
        <is>
          <t>Loma Larga</t>
        </is>
      </c>
    </row>
    <row r="765">
      <c r="Y765" t="inlineStr">
        <is>
          <t>La Florida</t>
        </is>
      </c>
      <c r="Z765" t="inlineStr">
        <is>
          <t>Matituy</t>
        </is>
      </c>
    </row>
    <row r="766">
      <c r="Y766" t="inlineStr">
        <is>
          <t>La Florida</t>
        </is>
      </c>
      <c r="Z766" t="inlineStr">
        <is>
          <t>Panchindo</t>
        </is>
      </c>
    </row>
    <row r="767">
      <c r="Y767" t="inlineStr">
        <is>
          <t>La Florida</t>
        </is>
      </c>
      <c r="Z767" t="inlineStr">
        <is>
          <t>Pescador</t>
        </is>
      </c>
    </row>
    <row r="768">
      <c r="Y768" t="inlineStr">
        <is>
          <t>La Florida</t>
        </is>
      </c>
      <c r="Z768" t="inlineStr">
        <is>
          <t>Picacho</t>
        </is>
      </c>
    </row>
    <row r="769">
      <c r="Y769" t="inlineStr">
        <is>
          <t>La Florida</t>
        </is>
      </c>
      <c r="Z769" t="inlineStr">
        <is>
          <t>Plazuelas</t>
        </is>
      </c>
    </row>
    <row r="770">
      <c r="Y770" t="inlineStr">
        <is>
          <t>La Florida</t>
        </is>
      </c>
      <c r="Z770" t="inlineStr">
        <is>
          <t>Pucara</t>
        </is>
      </c>
    </row>
    <row r="771">
      <c r="Y771" t="inlineStr">
        <is>
          <t>La Florida</t>
        </is>
      </c>
      <c r="Z771" t="inlineStr">
        <is>
          <t>Quebrada Honda</t>
        </is>
      </c>
    </row>
    <row r="772">
      <c r="Y772" t="inlineStr">
        <is>
          <t>La Florida</t>
        </is>
      </c>
      <c r="Z772" t="inlineStr">
        <is>
          <t>Robles</t>
        </is>
      </c>
    </row>
    <row r="773">
      <c r="Y773" t="inlineStr">
        <is>
          <t>La Florida</t>
        </is>
      </c>
      <c r="Z773" t="inlineStr">
        <is>
          <t>Rosa Pamba</t>
        </is>
      </c>
    </row>
    <row r="774">
      <c r="Y774" t="inlineStr">
        <is>
          <t>La Florida</t>
        </is>
      </c>
      <c r="Z774" t="inlineStr">
        <is>
          <t>San Francisco Alto</t>
        </is>
      </c>
    </row>
    <row r="775">
      <c r="Y775" t="inlineStr">
        <is>
          <t>La Florida</t>
        </is>
      </c>
      <c r="Z775" t="inlineStr">
        <is>
          <t>San Francisco Bajo</t>
        </is>
      </c>
    </row>
    <row r="776">
      <c r="Y776" t="inlineStr">
        <is>
          <t>La Florida</t>
        </is>
      </c>
      <c r="Z776" t="inlineStr">
        <is>
          <t>Santa Ana</t>
        </is>
      </c>
    </row>
    <row r="777">
      <c r="Y777" t="inlineStr">
        <is>
          <t>La Florida</t>
        </is>
      </c>
      <c r="Z777" t="inlineStr">
        <is>
          <t>Sector Oriental</t>
        </is>
      </c>
    </row>
    <row r="778">
      <c r="Y778" t="inlineStr">
        <is>
          <t>La Florida</t>
        </is>
      </c>
      <c r="Z778" t="inlineStr">
        <is>
          <t>Tunja Grande</t>
        </is>
      </c>
    </row>
    <row r="779">
      <c r="Y779" t="inlineStr">
        <is>
          <t>La Florida</t>
        </is>
      </c>
      <c r="Z779" t="inlineStr">
        <is>
          <t>Yunguilla</t>
        </is>
      </c>
    </row>
    <row r="780">
      <c r="Y780" t="inlineStr">
        <is>
          <t>La Llanada</t>
        </is>
      </c>
      <c r="Z780" t="inlineStr">
        <is>
          <t>El Campanario</t>
        </is>
      </c>
    </row>
    <row r="781">
      <c r="Y781" t="inlineStr">
        <is>
          <t>La Llanada</t>
        </is>
      </c>
      <c r="Z781" t="inlineStr">
        <is>
          <t>El Maco</t>
        </is>
      </c>
    </row>
    <row r="782">
      <c r="Y782" t="inlineStr">
        <is>
          <t>La Llanada</t>
        </is>
      </c>
      <c r="Z782" t="inlineStr">
        <is>
          <t>El Palmar</t>
        </is>
      </c>
    </row>
    <row r="783">
      <c r="Y783" t="inlineStr">
        <is>
          <t>La Llanada</t>
        </is>
      </c>
      <c r="Z783" t="inlineStr">
        <is>
          <t>El Prado</t>
        </is>
      </c>
    </row>
    <row r="784">
      <c r="Y784" t="inlineStr">
        <is>
          <t>La Llanada</t>
        </is>
      </c>
      <c r="Z784" t="inlineStr">
        <is>
          <t>El Remate</t>
        </is>
      </c>
    </row>
    <row r="785">
      <c r="Y785" t="inlineStr">
        <is>
          <t>La Llanada</t>
        </is>
      </c>
      <c r="Z785" t="inlineStr">
        <is>
          <t>El Vergel</t>
        </is>
      </c>
    </row>
    <row r="786">
      <c r="Y786" t="inlineStr">
        <is>
          <t>La Llanada</t>
        </is>
      </c>
      <c r="Z786" t="inlineStr">
        <is>
          <t>La Floresta</t>
        </is>
      </c>
    </row>
    <row r="787">
      <c r="Y787" t="inlineStr">
        <is>
          <t>La Llanada</t>
        </is>
      </c>
      <c r="Z787" t="inlineStr">
        <is>
          <t>La Florida</t>
        </is>
      </c>
    </row>
    <row r="788">
      <c r="Y788" t="inlineStr">
        <is>
          <t>La Llanada</t>
        </is>
      </c>
      <c r="Z788" t="inlineStr">
        <is>
          <t>La Llanada</t>
        </is>
      </c>
    </row>
    <row r="789">
      <c r="Y789" t="inlineStr">
        <is>
          <t>La Llanada</t>
        </is>
      </c>
      <c r="Z789" t="inlineStr">
        <is>
          <t>La Montaña</t>
        </is>
      </c>
    </row>
    <row r="790">
      <c r="Y790" t="inlineStr">
        <is>
          <t>La Llanada</t>
        </is>
      </c>
      <c r="Z790" t="inlineStr">
        <is>
          <t>La Palma</t>
        </is>
      </c>
    </row>
    <row r="791">
      <c r="Y791" t="inlineStr">
        <is>
          <t>La Llanada</t>
        </is>
      </c>
      <c r="Z791" t="inlineStr">
        <is>
          <t>Murcielago</t>
        </is>
      </c>
    </row>
    <row r="792">
      <c r="Y792" t="inlineStr">
        <is>
          <t>La Llanada</t>
        </is>
      </c>
      <c r="Z792" t="inlineStr">
        <is>
          <t>San Francisco</t>
        </is>
      </c>
    </row>
    <row r="793">
      <c r="Y793" t="inlineStr">
        <is>
          <t>La Llanada</t>
        </is>
      </c>
      <c r="Z793" t="inlineStr">
        <is>
          <t>Santa Rosa</t>
        </is>
      </c>
    </row>
    <row r="794">
      <c r="Y794" t="inlineStr">
        <is>
          <t>La Llanada</t>
        </is>
      </c>
      <c r="Z794" t="inlineStr">
        <is>
          <t>Saspí</t>
        </is>
      </c>
    </row>
    <row r="795">
      <c r="Y795" t="inlineStr">
        <is>
          <t>La Tola</t>
        </is>
      </c>
      <c r="Z795" t="inlineStr">
        <is>
          <t>Aguacatal</t>
        </is>
      </c>
    </row>
    <row r="796">
      <c r="Y796" t="inlineStr">
        <is>
          <t>La Tola</t>
        </is>
      </c>
      <c r="Z796" t="inlineStr">
        <is>
          <t>Amarales</t>
        </is>
      </c>
    </row>
    <row r="797">
      <c r="Y797" t="inlineStr">
        <is>
          <t>La Tola</t>
        </is>
      </c>
      <c r="Z797" t="inlineStr">
        <is>
          <t>Antonio Nariño</t>
        </is>
      </c>
    </row>
    <row r="798">
      <c r="Y798" t="inlineStr">
        <is>
          <t>La Tola</t>
        </is>
      </c>
      <c r="Z798" t="inlineStr">
        <is>
          <t>Caleño</t>
        </is>
      </c>
    </row>
    <row r="799">
      <c r="Y799" t="inlineStr">
        <is>
          <t>La Tola</t>
        </is>
      </c>
      <c r="Z799" t="inlineStr">
        <is>
          <t>Chanul</t>
        </is>
      </c>
    </row>
    <row r="800">
      <c r="Y800" t="inlineStr">
        <is>
          <t>La Tola</t>
        </is>
      </c>
      <c r="Z800" t="inlineStr">
        <is>
          <t>Guasco</t>
        </is>
      </c>
    </row>
    <row r="801">
      <c r="Y801" t="inlineStr">
        <is>
          <t>La Tola</t>
        </is>
      </c>
      <c r="Z801" t="inlineStr">
        <is>
          <t>Matapalo</t>
        </is>
      </c>
    </row>
    <row r="802">
      <c r="Y802" t="inlineStr">
        <is>
          <t>La Tola</t>
        </is>
      </c>
      <c r="Z802" t="inlineStr">
        <is>
          <t>San Antonio del Mar</t>
        </is>
      </c>
    </row>
    <row r="803">
      <c r="Y803" t="inlineStr">
        <is>
          <t>La Tola</t>
        </is>
      </c>
      <c r="Z803" t="inlineStr">
        <is>
          <t>San Isidro</t>
        </is>
      </c>
    </row>
    <row r="804">
      <c r="Y804" t="inlineStr">
        <is>
          <t>La Tola</t>
        </is>
      </c>
      <c r="Z804" t="inlineStr">
        <is>
          <t>San Nicolas</t>
        </is>
      </c>
    </row>
    <row r="805">
      <c r="Y805" t="inlineStr">
        <is>
          <t>La Tola</t>
        </is>
      </c>
      <c r="Z805" t="inlineStr">
        <is>
          <t>Sin Informacion</t>
        </is>
      </c>
    </row>
    <row r="806">
      <c r="Y806" t="inlineStr">
        <is>
          <t>La Tola</t>
        </is>
      </c>
      <c r="Z806" t="inlineStr">
        <is>
          <t>Tapajena</t>
        </is>
      </c>
    </row>
    <row r="807">
      <c r="Y807" t="inlineStr">
        <is>
          <t>La Tola</t>
        </is>
      </c>
      <c r="Z807" t="inlineStr">
        <is>
          <t>Tola</t>
        </is>
      </c>
    </row>
    <row r="808">
      <c r="Y808" t="inlineStr">
        <is>
          <t>La Unión</t>
        </is>
      </c>
      <c r="Z808" t="inlineStr">
        <is>
          <t>Alpujarra</t>
        </is>
      </c>
    </row>
    <row r="809">
      <c r="Y809" t="inlineStr">
        <is>
          <t>La Unión</t>
        </is>
      </c>
      <c r="Z809" t="inlineStr">
        <is>
          <t>Buenos Aires</t>
        </is>
      </c>
    </row>
    <row r="810">
      <c r="Y810" t="inlineStr">
        <is>
          <t>La Unión</t>
        </is>
      </c>
      <c r="Z810" t="inlineStr">
        <is>
          <t>Chaguarurco</t>
        </is>
      </c>
    </row>
    <row r="811">
      <c r="Y811" t="inlineStr">
        <is>
          <t>La Unión</t>
        </is>
      </c>
      <c r="Z811" t="inlineStr">
        <is>
          <t>Chilcal Alto</t>
        </is>
      </c>
    </row>
    <row r="812">
      <c r="Y812" t="inlineStr">
        <is>
          <t>La Unión</t>
        </is>
      </c>
      <c r="Z812" t="inlineStr">
        <is>
          <t>Chilcal Bajo</t>
        </is>
      </c>
    </row>
    <row r="813">
      <c r="Y813" t="inlineStr">
        <is>
          <t>La Unión</t>
        </is>
      </c>
      <c r="Z813" t="inlineStr">
        <is>
          <t>Contadero</t>
        </is>
      </c>
    </row>
    <row r="814">
      <c r="Y814" t="inlineStr">
        <is>
          <t>La Unión</t>
        </is>
      </c>
      <c r="Z814" t="inlineStr">
        <is>
          <t>Cuchillas Peñas Blancas</t>
        </is>
      </c>
    </row>
    <row r="815">
      <c r="Y815" t="inlineStr">
        <is>
          <t>La Unión</t>
        </is>
      </c>
      <c r="Z815" t="inlineStr">
        <is>
          <t>Cusillo Alto</t>
        </is>
      </c>
    </row>
    <row r="816">
      <c r="Y816" t="inlineStr">
        <is>
          <t>La Unión</t>
        </is>
      </c>
      <c r="Z816" t="inlineStr">
        <is>
          <t>Cusillo Bajo</t>
        </is>
      </c>
    </row>
    <row r="817">
      <c r="Y817" t="inlineStr">
        <is>
          <t>La Unión</t>
        </is>
      </c>
      <c r="Z817" t="inlineStr">
        <is>
          <t>El Boqueron</t>
        </is>
      </c>
    </row>
    <row r="818">
      <c r="Y818" t="inlineStr">
        <is>
          <t>La Unión</t>
        </is>
      </c>
      <c r="Z818" t="inlineStr">
        <is>
          <t>El Cerrito</t>
        </is>
      </c>
    </row>
    <row r="819">
      <c r="Y819" t="inlineStr">
        <is>
          <t>La Unión</t>
        </is>
      </c>
      <c r="Z819" t="inlineStr">
        <is>
          <t>El Diviso</t>
        </is>
      </c>
    </row>
    <row r="820">
      <c r="Y820" t="inlineStr">
        <is>
          <t>La Unión</t>
        </is>
      </c>
      <c r="Z820" t="inlineStr">
        <is>
          <t>El Peligro</t>
        </is>
      </c>
    </row>
    <row r="821">
      <c r="Y821" t="inlineStr">
        <is>
          <t>La Unión</t>
        </is>
      </c>
      <c r="Z821" t="inlineStr">
        <is>
          <t>El Salado</t>
        </is>
      </c>
    </row>
    <row r="822">
      <c r="Y822" t="inlineStr">
        <is>
          <t>La Unión</t>
        </is>
      </c>
      <c r="Z822" t="inlineStr">
        <is>
          <t>Guabo</t>
        </is>
      </c>
    </row>
    <row r="823">
      <c r="Y823" t="inlineStr">
        <is>
          <t>La Unión</t>
        </is>
      </c>
      <c r="Z823" t="inlineStr">
        <is>
          <t>Juan Solarte Obando</t>
        </is>
      </c>
    </row>
    <row r="824">
      <c r="Y824" t="inlineStr">
        <is>
          <t>La Unión</t>
        </is>
      </c>
      <c r="Z824" t="inlineStr">
        <is>
          <t>La Betulia</t>
        </is>
      </c>
    </row>
    <row r="825">
      <c r="Y825" t="inlineStr">
        <is>
          <t>La Unión</t>
        </is>
      </c>
      <c r="Z825" t="inlineStr">
        <is>
          <t>La Caldera</t>
        </is>
      </c>
    </row>
    <row r="826">
      <c r="Y826" t="inlineStr">
        <is>
          <t>La Unión</t>
        </is>
      </c>
      <c r="Z826" t="inlineStr">
        <is>
          <t>La Cañada</t>
        </is>
      </c>
    </row>
    <row r="827">
      <c r="Y827" t="inlineStr">
        <is>
          <t>La Unión</t>
        </is>
      </c>
      <c r="Z827" t="inlineStr">
        <is>
          <t>La Castilla</t>
        </is>
      </c>
    </row>
    <row r="828">
      <c r="Y828" t="inlineStr">
        <is>
          <t>La Unión</t>
        </is>
      </c>
      <c r="Z828" t="inlineStr">
        <is>
          <t>La Cumbre</t>
        </is>
      </c>
    </row>
    <row r="829">
      <c r="Y829" t="inlineStr">
        <is>
          <t>La Unión</t>
        </is>
      </c>
      <c r="Z829" t="inlineStr">
        <is>
          <t>La Fragua</t>
        </is>
      </c>
    </row>
    <row r="830">
      <c r="Y830" t="inlineStr">
        <is>
          <t>La Unión</t>
        </is>
      </c>
      <c r="Z830" t="inlineStr">
        <is>
          <t>La Jacoba</t>
        </is>
      </c>
    </row>
    <row r="831">
      <c r="Y831" t="inlineStr">
        <is>
          <t>La Unión</t>
        </is>
      </c>
      <c r="Z831" t="inlineStr">
        <is>
          <t>La Merced</t>
        </is>
      </c>
    </row>
    <row r="832">
      <c r="Y832" t="inlineStr">
        <is>
          <t>La Unión</t>
        </is>
      </c>
      <c r="Z832" t="inlineStr">
        <is>
          <t>La Playa</t>
        </is>
      </c>
    </row>
    <row r="833">
      <c r="Y833" t="inlineStr">
        <is>
          <t>La Unión</t>
        </is>
      </c>
      <c r="Z833" t="inlineStr">
        <is>
          <t>Las Palmas</t>
        </is>
      </c>
    </row>
    <row r="834">
      <c r="Y834" t="inlineStr">
        <is>
          <t>La Unión</t>
        </is>
      </c>
      <c r="Z834" t="inlineStr">
        <is>
          <t>Llano Grande</t>
        </is>
      </c>
    </row>
    <row r="835">
      <c r="Y835" t="inlineStr">
        <is>
          <t>La Unión</t>
        </is>
      </c>
      <c r="Z835" t="inlineStr">
        <is>
          <t>Ojo de Agua</t>
        </is>
      </c>
    </row>
    <row r="836">
      <c r="Y836" t="inlineStr">
        <is>
          <t>La Unión</t>
        </is>
      </c>
      <c r="Z836" t="inlineStr">
        <is>
          <t>Olivos</t>
        </is>
      </c>
    </row>
    <row r="837">
      <c r="Y837" t="inlineStr">
        <is>
          <t>La Unión</t>
        </is>
      </c>
      <c r="Z837" t="inlineStr">
        <is>
          <t>Palo Verde</t>
        </is>
      </c>
    </row>
    <row r="838">
      <c r="Y838" t="inlineStr">
        <is>
          <t>La Unión</t>
        </is>
      </c>
      <c r="Z838" t="inlineStr">
        <is>
          <t>Peña Blanca</t>
        </is>
      </c>
    </row>
    <row r="839">
      <c r="Y839" t="inlineStr">
        <is>
          <t>La Unión</t>
        </is>
      </c>
      <c r="Z839" t="inlineStr">
        <is>
          <t>Pradera Alto</t>
        </is>
      </c>
    </row>
    <row r="840">
      <c r="Y840" t="inlineStr">
        <is>
          <t>La Unión</t>
        </is>
      </c>
      <c r="Z840" t="inlineStr">
        <is>
          <t>Pradera Bajo</t>
        </is>
      </c>
    </row>
    <row r="841">
      <c r="Y841" t="inlineStr">
        <is>
          <t>La Unión</t>
        </is>
      </c>
      <c r="Z841" t="inlineStr">
        <is>
          <t>Quiroz Alto</t>
        </is>
      </c>
    </row>
    <row r="842">
      <c r="Y842" t="inlineStr">
        <is>
          <t>La Unión</t>
        </is>
      </c>
      <c r="Z842" t="inlineStr">
        <is>
          <t>Quiroz Bajo</t>
        </is>
      </c>
    </row>
    <row r="843">
      <c r="Y843" t="inlineStr">
        <is>
          <t>La Unión</t>
        </is>
      </c>
      <c r="Z843" t="inlineStr">
        <is>
          <t>Reyes</t>
        </is>
      </c>
    </row>
    <row r="844">
      <c r="Y844" t="inlineStr">
        <is>
          <t>La Unión</t>
        </is>
      </c>
      <c r="Z844" t="inlineStr">
        <is>
          <t>Rincón Cusillo</t>
        </is>
      </c>
    </row>
    <row r="845">
      <c r="Y845" t="inlineStr">
        <is>
          <t>La Unión</t>
        </is>
      </c>
      <c r="Z845" t="inlineStr">
        <is>
          <t>Santander</t>
        </is>
      </c>
    </row>
    <row r="846">
      <c r="Y846" t="inlineStr">
        <is>
          <t>La Unión</t>
        </is>
      </c>
      <c r="Z846" t="inlineStr">
        <is>
          <t>Sauce Alto</t>
        </is>
      </c>
    </row>
    <row r="847">
      <c r="Y847" t="inlineStr">
        <is>
          <t>La Unión</t>
        </is>
      </c>
      <c r="Z847" t="inlineStr">
        <is>
          <t>Sauce Bajo</t>
        </is>
      </c>
    </row>
    <row r="848">
      <c r="Y848" t="inlineStr">
        <is>
          <t>La Unión</t>
        </is>
      </c>
      <c r="Z848" t="inlineStr">
        <is>
          <t>Villamaría</t>
        </is>
      </c>
    </row>
    <row r="849">
      <c r="Y849" t="inlineStr">
        <is>
          <t>Leiva</t>
        </is>
      </c>
      <c r="Z849" t="inlineStr">
        <is>
          <t>Delicias</t>
        </is>
      </c>
    </row>
    <row r="850">
      <c r="Y850" t="inlineStr">
        <is>
          <t>Leiva</t>
        </is>
      </c>
      <c r="Z850" t="inlineStr">
        <is>
          <t>El Palmar</t>
        </is>
      </c>
    </row>
    <row r="851">
      <c r="Y851" t="inlineStr">
        <is>
          <t>Leiva</t>
        </is>
      </c>
      <c r="Z851" t="inlineStr">
        <is>
          <t>La Florida</t>
        </is>
      </c>
    </row>
    <row r="852">
      <c r="Y852" t="inlineStr">
        <is>
          <t>Leiva</t>
        </is>
      </c>
      <c r="Z852" t="inlineStr">
        <is>
          <t>La Villa</t>
        </is>
      </c>
    </row>
    <row r="853">
      <c r="Y853" t="inlineStr">
        <is>
          <t>Leiva</t>
        </is>
      </c>
      <c r="Z853" t="inlineStr">
        <is>
          <t>Leiva</t>
        </is>
      </c>
    </row>
    <row r="854">
      <c r="Y854" t="inlineStr">
        <is>
          <t>Leiva</t>
        </is>
      </c>
      <c r="Z854" t="inlineStr">
        <is>
          <t>Nariño</t>
        </is>
      </c>
    </row>
    <row r="855">
      <c r="Y855" t="inlineStr">
        <is>
          <t>Leiva</t>
        </is>
      </c>
      <c r="Z855" t="inlineStr">
        <is>
          <t>Santa Lucia</t>
        </is>
      </c>
    </row>
    <row r="856">
      <c r="Y856" t="inlineStr">
        <is>
          <t>Leiva</t>
        </is>
      </c>
      <c r="Z856" t="inlineStr">
        <is>
          <t>Tablon</t>
        </is>
      </c>
    </row>
    <row r="857">
      <c r="Y857" t="inlineStr">
        <is>
          <t>Linares</t>
        </is>
      </c>
      <c r="Z857" t="inlineStr">
        <is>
          <t>Alto de Aranda</t>
        </is>
      </c>
    </row>
    <row r="858">
      <c r="Y858" t="inlineStr">
        <is>
          <t>Linares</t>
        </is>
      </c>
      <c r="Z858" t="inlineStr">
        <is>
          <t>Arboleda</t>
        </is>
      </c>
    </row>
    <row r="859">
      <c r="Y859" t="inlineStr">
        <is>
          <t>Linares</t>
        </is>
      </c>
      <c r="Z859" t="inlineStr">
        <is>
          <t>Bellavista</t>
        </is>
      </c>
    </row>
    <row r="860">
      <c r="Y860" t="inlineStr">
        <is>
          <t>Linares</t>
        </is>
      </c>
      <c r="Z860" t="inlineStr">
        <is>
          <t>Carrisal</t>
        </is>
      </c>
    </row>
    <row r="861">
      <c r="Y861" t="inlineStr">
        <is>
          <t>Linares</t>
        </is>
      </c>
      <c r="Z861" t="inlineStr">
        <is>
          <t>Cuatro Esquinas</t>
        </is>
      </c>
    </row>
    <row r="862">
      <c r="Y862" t="inlineStr">
        <is>
          <t>Linares</t>
        </is>
      </c>
      <c r="Z862" t="inlineStr">
        <is>
          <t>Dos Quebradas</t>
        </is>
      </c>
    </row>
    <row r="863">
      <c r="Y863" t="inlineStr">
        <is>
          <t>Linares</t>
        </is>
      </c>
      <c r="Z863" t="inlineStr">
        <is>
          <t>El Balsal</t>
        </is>
      </c>
    </row>
    <row r="864">
      <c r="Y864" t="inlineStr">
        <is>
          <t>Linares</t>
        </is>
      </c>
      <c r="Z864" t="inlineStr">
        <is>
          <t>El Tablón</t>
        </is>
      </c>
    </row>
    <row r="865">
      <c r="Y865" t="inlineStr">
        <is>
          <t>Linares</t>
        </is>
      </c>
      <c r="Z865" t="inlineStr">
        <is>
          <t>Encillada</t>
        </is>
      </c>
    </row>
    <row r="866">
      <c r="Y866" t="inlineStr">
        <is>
          <t>Linares</t>
        </is>
      </c>
      <c r="Z866" t="inlineStr">
        <is>
          <t>Guaitara</t>
        </is>
      </c>
    </row>
    <row r="867">
      <c r="Y867" t="inlineStr">
        <is>
          <t>Linares</t>
        </is>
      </c>
      <c r="Z867" t="inlineStr">
        <is>
          <t>Higueronal</t>
        </is>
      </c>
    </row>
    <row r="868">
      <c r="Y868" t="inlineStr">
        <is>
          <t>Linares</t>
        </is>
      </c>
      <c r="Z868" t="inlineStr">
        <is>
          <t>La Cocha</t>
        </is>
      </c>
    </row>
    <row r="869">
      <c r="Y869" t="inlineStr">
        <is>
          <t>Linares</t>
        </is>
      </c>
      <c r="Z869" t="inlineStr">
        <is>
          <t>La Tola</t>
        </is>
      </c>
    </row>
    <row r="870">
      <c r="Y870" t="inlineStr">
        <is>
          <t>Linares</t>
        </is>
      </c>
      <c r="Z870" t="inlineStr">
        <is>
          <t>Laguna</t>
        </is>
      </c>
    </row>
    <row r="871">
      <c r="Y871" t="inlineStr">
        <is>
          <t>Linares</t>
        </is>
      </c>
      <c r="Z871" t="inlineStr">
        <is>
          <t>Llano Grande Alto</t>
        </is>
      </c>
    </row>
    <row r="872">
      <c r="Y872" t="inlineStr">
        <is>
          <t>Linares</t>
        </is>
      </c>
      <c r="Z872" t="inlineStr">
        <is>
          <t>Llano Grande Bajo</t>
        </is>
      </c>
    </row>
    <row r="873">
      <c r="Y873" t="inlineStr">
        <is>
          <t>Linares</t>
        </is>
      </c>
      <c r="Z873" t="inlineStr">
        <is>
          <t>Loma Larga</t>
        </is>
      </c>
    </row>
    <row r="874">
      <c r="Y874" t="inlineStr">
        <is>
          <t>Linares</t>
        </is>
      </c>
      <c r="Z874" t="inlineStr">
        <is>
          <t>Mina</t>
        </is>
      </c>
    </row>
    <row r="875">
      <c r="Y875" t="inlineStr">
        <is>
          <t>Linares</t>
        </is>
      </c>
      <c r="Z875" t="inlineStr">
        <is>
          <t>Monte Claro</t>
        </is>
      </c>
    </row>
    <row r="876">
      <c r="Y876" t="inlineStr">
        <is>
          <t>Linares</t>
        </is>
      </c>
      <c r="Z876" t="inlineStr">
        <is>
          <t>Motilon</t>
        </is>
      </c>
    </row>
    <row r="877">
      <c r="Y877" t="inlineStr">
        <is>
          <t>Linares</t>
        </is>
      </c>
      <c r="Z877" t="inlineStr">
        <is>
          <t>Nachao</t>
        </is>
      </c>
    </row>
    <row r="878">
      <c r="Y878" t="inlineStr">
        <is>
          <t>Linares</t>
        </is>
      </c>
      <c r="Z878" t="inlineStr">
        <is>
          <t>Oratorio</t>
        </is>
      </c>
    </row>
    <row r="879">
      <c r="Y879" t="inlineStr">
        <is>
          <t>Linares</t>
        </is>
      </c>
      <c r="Z879" t="inlineStr">
        <is>
          <t>Pacual</t>
        </is>
      </c>
    </row>
    <row r="880">
      <c r="Y880" t="inlineStr">
        <is>
          <t>Linares</t>
        </is>
      </c>
      <c r="Z880" t="inlineStr">
        <is>
          <t>Palma</t>
        </is>
      </c>
    </row>
    <row r="881">
      <c r="Y881" t="inlineStr">
        <is>
          <t>Linares</t>
        </is>
      </c>
      <c r="Z881" t="inlineStr">
        <is>
          <t>Parapetos</t>
        </is>
      </c>
    </row>
    <row r="882">
      <c r="Y882" t="inlineStr">
        <is>
          <t>Linares</t>
        </is>
      </c>
      <c r="Z882" t="inlineStr">
        <is>
          <t>Pascual</t>
        </is>
      </c>
    </row>
    <row r="883">
      <c r="Y883" t="inlineStr">
        <is>
          <t>Linares</t>
        </is>
      </c>
      <c r="Z883" t="inlineStr">
        <is>
          <t>Poroto</t>
        </is>
      </c>
    </row>
    <row r="884">
      <c r="Y884" t="inlineStr">
        <is>
          <t>Linares</t>
        </is>
      </c>
      <c r="Z884" t="inlineStr">
        <is>
          <t>Posudos</t>
        </is>
      </c>
    </row>
    <row r="885">
      <c r="Y885" t="inlineStr">
        <is>
          <t>Linares</t>
        </is>
      </c>
      <c r="Z885" t="inlineStr">
        <is>
          <t>Providencia</t>
        </is>
      </c>
    </row>
    <row r="886">
      <c r="Y886" t="inlineStr">
        <is>
          <t>Linares</t>
        </is>
      </c>
      <c r="Z886" t="inlineStr">
        <is>
          <t>Pueblo Viejo</t>
        </is>
      </c>
    </row>
    <row r="887">
      <c r="Y887" t="inlineStr">
        <is>
          <t>Linares</t>
        </is>
      </c>
      <c r="Z887" t="inlineStr">
        <is>
          <t>Recreo</t>
        </is>
      </c>
    </row>
    <row r="888">
      <c r="Y888" t="inlineStr">
        <is>
          <t>Linares</t>
        </is>
      </c>
      <c r="Z888" t="inlineStr">
        <is>
          <t>San Antonio</t>
        </is>
      </c>
    </row>
    <row r="889">
      <c r="Y889" t="inlineStr">
        <is>
          <t>Linares</t>
        </is>
      </c>
      <c r="Z889" t="inlineStr">
        <is>
          <t>San Francisco</t>
        </is>
      </c>
    </row>
    <row r="890">
      <c r="Y890" t="inlineStr">
        <is>
          <t>Linares</t>
        </is>
      </c>
      <c r="Z890" t="inlineStr">
        <is>
          <t>San José</t>
        </is>
      </c>
    </row>
    <row r="891">
      <c r="Y891" t="inlineStr">
        <is>
          <t>Linares</t>
        </is>
      </c>
      <c r="Z891" t="inlineStr">
        <is>
          <t>Tambillo Bravos</t>
        </is>
      </c>
    </row>
    <row r="892">
      <c r="Y892" t="inlineStr">
        <is>
          <t>Linares</t>
        </is>
      </c>
      <c r="Z892" t="inlineStr">
        <is>
          <t>Tambillo de Acostas</t>
        </is>
      </c>
    </row>
    <row r="893">
      <c r="Y893" t="inlineStr">
        <is>
          <t>Linares</t>
        </is>
      </c>
      <c r="Z893" t="inlineStr">
        <is>
          <t>Vendeaguja</t>
        </is>
      </c>
    </row>
    <row r="894">
      <c r="Y894" t="inlineStr">
        <is>
          <t>Los Andes</t>
        </is>
      </c>
      <c r="Z894" t="inlineStr">
        <is>
          <t>Alto</t>
        </is>
      </c>
    </row>
    <row r="895">
      <c r="Y895" t="inlineStr">
        <is>
          <t>Los Andes</t>
        </is>
      </c>
      <c r="Z895" t="inlineStr">
        <is>
          <t>Aurora</t>
        </is>
      </c>
    </row>
    <row r="896">
      <c r="Y896" t="inlineStr">
        <is>
          <t>Los Andes</t>
        </is>
      </c>
      <c r="Z896" t="inlineStr">
        <is>
          <t>Bajo Pacual</t>
        </is>
      </c>
    </row>
    <row r="897">
      <c r="Y897" t="inlineStr">
        <is>
          <t>Los Andes</t>
        </is>
      </c>
      <c r="Z897" t="inlineStr">
        <is>
          <t>Campo Bello</t>
        </is>
      </c>
    </row>
    <row r="898">
      <c r="Y898" t="inlineStr">
        <is>
          <t>Los Andes</t>
        </is>
      </c>
      <c r="Z898" t="inlineStr">
        <is>
          <t>Cordilleras Andinas</t>
        </is>
      </c>
    </row>
    <row r="899">
      <c r="Y899" t="inlineStr">
        <is>
          <t>Los Andes</t>
        </is>
      </c>
      <c r="Z899" t="inlineStr">
        <is>
          <t>El Arenal</t>
        </is>
      </c>
    </row>
    <row r="900">
      <c r="Y900" t="inlineStr">
        <is>
          <t>Los Andes</t>
        </is>
      </c>
      <c r="Z900" t="inlineStr">
        <is>
          <t>El Carrizal</t>
        </is>
      </c>
    </row>
    <row r="901">
      <c r="Y901" t="inlineStr">
        <is>
          <t>Los Andes</t>
        </is>
      </c>
      <c r="Z901" t="inlineStr">
        <is>
          <t>El Crucero</t>
        </is>
      </c>
    </row>
    <row r="902">
      <c r="Y902" t="inlineStr">
        <is>
          <t>Los Andes</t>
        </is>
      </c>
      <c r="Z902" t="inlineStr">
        <is>
          <t>El Huilque</t>
        </is>
      </c>
    </row>
    <row r="903">
      <c r="Y903" t="inlineStr">
        <is>
          <t>Los Andes</t>
        </is>
      </c>
      <c r="Z903" t="inlineStr">
        <is>
          <t>El Palacio</t>
        </is>
      </c>
    </row>
    <row r="904">
      <c r="Y904" t="inlineStr">
        <is>
          <t>Los Andes</t>
        </is>
      </c>
      <c r="Z904" t="inlineStr">
        <is>
          <t>El Pichuelo</t>
        </is>
      </c>
    </row>
    <row r="905">
      <c r="Y905" t="inlineStr">
        <is>
          <t>Los Andes</t>
        </is>
      </c>
      <c r="Z905" t="inlineStr">
        <is>
          <t>El Pital</t>
        </is>
      </c>
    </row>
    <row r="906">
      <c r="Y906" t="inlineStr">
        <is>
          <t>Los Andes</t>
        </is>
      </c>
      <c r="Z906" t="inlineStr">
        <is>
          <t>Guayabal</t>
        </is>
      </c>
    </row>
    <row r="907">
      <c r="Y907" t="inlineStr">
        <is>
          <t>Los Andes</t>
        </is>
      </c>
      <c r="Z907" t="inlineStr">
        <is>
          <t>La Carrera</t>
        </is>
      </c>
    </row>
    <row r="908">
      <c r="Y908" t="inlineStr">
        <is>
          <t>Los Andes</t>
        </is>
      </c>
      <c r="Z908" t="inlineStr">
        <is>
          <t>La Esmeralda</t>
        </is>
      </c>
    </row>
    <row r="909">
      <c r="Y909" t="inlineStr">
        <is>
          <t>Los Andes</t>
        </is>
      </c>
      <c r="Z909" t="inlineStr">
        <is>
          <t>La Planada</t>
        </is>
      </c>
    </row>
    <row r="910">
      <c r="Y910" t="inlineStr">
        <is>
          <t>Los Andes</t>
        </is>
      </c>
      <c r="Z910" t="inlineStr">
        <is>
          <t>Las Delicias</t>
        </is>
      </c>
    </row>
    <row r="911">
      <c r="Y911" t="inlineStr">
        <is>
          <t>Los Andes</t>
        </is>
      </c>
      <c r="Z911" t="inlineStr">
        <is>
          <t>Los Guabos</t>
        </is>
      </c>
    </row>
    <row r="912">
      <c r="Y912" t="inlineStr">
        <is>
          <t>Los Andes</t>
        </is>
      </c>
      <c r="Z912" t="inlineStr">
        <is>
          <t>Pangús</t>
        </is>
      </c>
    </row>
    <row r="913">
      <c r="Y913" t="inlineStr">
        <is>
          <t>Los Andes</t>
        </is>
      </c>
      <c r="Z913" t="inlineStr">
        <is>
          <t>Paraíso</t>
        </is>
      </c>
    </row>
    <row r="914">
      <c r="Y914" t="inlineStr">
        <is>
          <t>Los Andes</t>
        </is>
      </c>
      <c r="Z914" t="inlineStr">
        <is>
          <t>Pigaltal</t>
        </is>
      </c>
    </row>
    <row r="915">
      <c r="Y915" t="inlineStr">
        <is>
          <t>Los Andes</t>
        </is>
      </c>
      <c r="Z915" t="inlineStr">
        <is>
          <t>Providencia</t>
        </is>
      </c>
    </row>
    <row r="916">
      <c r="Y916" t="inlineStr">
        <is>
          <t>Los Andes</t>
        </is>
      </c>
      <c r="Z916" t="inlineStr">
        <is>
          <t>Quebrada Honda</t>
        </is>
      </c>
    </row>
    <row r="917">
      <c r="Y917" t="inlineStr">
        <is>
          <t>Los Andes</t>
        </is>
      </c>
      <c r="Z917" t="inlineStr">
        <is>
          <t>San Francisco</t>
        </is>
      </c>
    </row>
    <row r="918">
      <c r="Y918" t="inlineStr">
        <is>
          <t>Los Andes</t>
        </is>
      </c>
      <c r="Z918" t="inlineStr">
        <is>
          <t>San Isidro</t>
        </is>
      </c>
    </row>
    <row r="919">
      <c r="Y919" t="inlineStr">
        <is>
          <t>Los Andes</t>
        </is>
      </c>
      <c r="Z919" t="inlineStr">
        <is>
          <t>San Juan</t>
        </is>
      </c>
    </row>
    <row r="920">
      <c r="Y920" t="inlineStr">
        <is>
          <t>Los Andes</t>
        </is>
      </c>
      <c r="Z920" t="inlineStr">
        <is>
          <t>San Pedro</t>
        </is>
      </c>
    </row>
    <row r="921">
      <c r="Y921" t="inlineStr">
        <is>
          <t>Los Andes</t>
        </is>
      </c>
      <c r="Z921" t="inlineStr">
        <is>
          <t>San Vicente</t>
        </is>
      </c>
    </row>
    <row r="922">
      <c r="Y922" t="inlineStr">
        <is>
          <t>Los Andes</t>
        </is>
      </c>
      <c r="Z922" t="inlineStr">
        <is>
          <t>Selva</t>
        </is>
      </c>
    </row>
    <row r="923">
      <c r="Y923" t="inlineStr">
        <is>
          <t>Los Andes</t>
        </is>
      </c>
      <c r="Z923" t="inlineStr">
        <is>
          <t>Travesía</t>
        </is>
      </c>
    </row>
    <row r="924">
      <c r="Y924" t="inlineStr">
        <is>
          <t>Los Andes</t>
        </is>
      </c>
      <c r="Z924" t="inlineStr">
        <is>
          <t>Villanueva</t>
        </is>
      </c>
    </row>
    <row r="925">
      <c r="Y925" t="inlineStr">
        <is>
          <t>Magüí</t>
        </is>
      </c>
      <c r="Z925" t="inlineStr">
        <is>
          <t>Boca Demagui</t>
        </is>
      </c>
    </row>
    <row r="926">
      <c r="Y926" t="inlineStr">
        <is>
          <t>Magüí</t>
        </is>
      </c>
      <c r="Z926" t="inlineStr">
        <is>
          <t>Boca Nansalbi</t>
        </is>
      </c>
    </row>
    <row r="927">
      <c r="Y927" t="inlineStr">
        <is>
          <t>Magüí</t>
        </is>
      </c>
      <c r="Z927" t="inlineStr">
        <is>
          <t>Boqueron</t>
        </is>
      </c>
    </row>
    <row r="928">
      <c r="Y928" t="inlineStr">
        <is>
          <t>Magüí</t>
        </is>
      </c>
      <c r="Z928" t="inlineStr">
        <is>
          <t>El Vergel</t>
        </is>
      </c>
    </row>
    <row r="929">
      <c r="Y929" t="inlineStr">
        <is>
          <t>Magüí</t>
        </is>
      </c>
      <c r="Z929" t="inlineStr">
        <is>
          <t>Guañambi</t>
        </is>
      </c>
    </row>
    <row r="930">
      <c r="Y930" t="inlineStr">
        <is>
          <t>Magüí</t>
        </is>
      </c>
      <c r="Z930" t="inlineStr">
        <is>
          <t>La Corriente</t>
        </is>
      </c>
    </row>
    <row r="931">
      <c r="Y931" t="inlineStr">
        <is>
          <t>Magüí</t>
        </is>
      </c>
      <c r="Z931" t="inlineStr">
        <is>
          <t>La Piragua</t>
        </is>
      </c>
    </row>
    <row r="932">
      <c r="Y932" t="inlineStr">
        <is>
          <t>Magüí</t>
        </is>
      </c>
      <c r="Z932" t="inlineStr">
        <is>
          <t>Las Mercedes</t>
        </is>
      </c>
    </row>
    <row r="933">
      <c r="Y933" t="inlineStr">
        <is>
          <t>Magüí</t>
        </is>
      </c>
      <c r="Z933" t="inlineStr">
        <is>
          <t>Nalsami</t>
        </is>
      </c>
    </row>
    <row r="934">
      <c r="Y934" t="inlineStr">
        <is>
          <t>Magüí</t>
        </is>
      </c>
      <c r="Z934" t="inlineStr">
        <is>
          <t>Painambi</t>
        </is>
      </c>
    </row>
    <row r="935">
      <c r="Y935" t="inlineStr">
        <is>
          <t>Magüí</t>
        </is>
      </c>
      <c r="Z935" t="inlineStr">
        <is>
          <t>Pampeta</t>
        </is>
      </c>
    </row>
    <row r="936">
      <c r="Y936" t="inlineStr">
        <is>
          <t>Magüí</t>
        </is>
      </c>
      <c r="Z936" t="inlineStr">
        <is>
          <t>Piedra de Amor</t>
        </is>
      </c>
    </row>
    <row r="937">
      <c r="Y937" t="inlineStr">
        <is>
          <t>Magüí</t>
        </is>
      </c>
      <c r="Z937" t="inlineStr">
        <is>
          <t>San José de Tapaje</t>
        </is>
      </c>
    </row>
    <row r="938">
      <c r="Y938" t="inlineStr">
        <is>
          <t>Magüí</t>
        </is>
      </c>
      <c r="Z938" t="inlineStr">
        <is>
          <t>Sierra de la Cañada</t>
        </is>
      </c>
    </row>
    <row r="939">
      <c r="Y939" t="inlineStr">
        <is>
          <t>Magüí</t>
        </is>
      </c>
      <c r="Z939" t="inlineStr">
        <is>
          <t>Sin Informacion</t>
        </is>
      </c>
    </row>
    <row r="940">
      <c r="Y940" t="inlineStr">
        <is>
          <t>Mallama</t>
        </is>
      </c>
      <c r="Z940" t="inlineStr">
        <is>
          <t>Chimagual</t>
        </is>
      </c>
    </row>
    <row r="941">
      <c r="Y941" t="inlineStr">
        <is>
          <t>Mallama</t>
        </is>
      </c>
      <c r="Z941" t="inlineStr">
        <is>
          <t>El Arrayan</t>
        </is>
      </c>
    </row>
    <row r="942">
      <c r="Y942" t="inlineStr">
        <is>
          <t>Mallama</t>
        </is>
      </c>
      <c r="Z942" t="inlineStr">
        <is>
          <t>El Paraíso</t>
        </is>
      </c>
    </row>
    <row r="943">
      <c r="Y943" t="inlineStr">
        <is>
          <t>Mallama</t>
        </is>
      </c>
      <c r="Z943" t="inlineStr">
        <is>
          <t>La Oscurana</t>
        </is>
      </c>
    </row>
    <row r="944">
      <c r="Y944" t="inlineStr">
        <is>
          <t>Mallama</t>
        </is>
      </c>
      <c r="Z944" t="inlineStr">
        <is>
          <t>La Planda</t>
        </is>
      </c>
    </row>
    <row r="945">
      <c r="Y945" t="inlineStr">
        <is>
          <t>Mallama</t>
        </is>
      </c>
      <c r="Z945" t="inlineStr">
        <is>
          <t>San Miguel</t>
        </is>
      </c>
    </row>
    <row r="946">
      <c r="Y946" t="inlineStr">
        <is>
          <t>Mosquera</t>
        </is>
      </c>
      <c r="Z946" t="inlineStr">
        <is>
          <t>Boca de Guandipa</t>
        </is>
      </c>
    </row>
    <row r="947">
      <c r="Y947" t="inlineStr">
        <is>
          <t>Mosquera</t>
        </is>
      </c>
      <c r="Z947" t="inlineStr">
        <is>
          <t>El Guayabal</t>
        </is>
      </c>
    </row>
    <row r="948">
      <c r="Y948" t="inlineStr">
        <is>
          <t>Mosquera</t>
        </is>
      </c>
      <c r="Z948" t="inlineStr">
        <is>
          <t>Guayabal</t>
        </is>
      </c>
    </row>
    <row r="949">
      <c r="Y949" t="inlineStr">
        <is>
          <t>Mosquera</t>
        </is>
      </c>
      <c r="Z949" t="inlineStr">
        <is>
          <t>La Abeja</t>
        </is>
      </c>
    </row>
    <row r="950">
      <c r="Y950" t="inlineStr">
        <is>
          <t>Mosquera</t>
        </is>
      </c>
      <c r="Z950" t="inlineStr">
        <is>
          <t>La Pampa</t>
        </is>
      </c>
    </row>
    <row r="951">
      <c r="Y951" t="inlineStr">
        <is>
          <t>Mosquera</t>
        </is>
      </c>
      <c r="Z951" t="inlineStr">
        <is>
          <t>Miel de Abeja</t>
        </is>
      </c>
    </row>
    <row r="952">
      <c r="Y952" t="inlineStr">
        <is>
          <t>Mosquera</t>
        </is>
      </c>
      <c r="Z952" t="inlineStr">
        <is>
          <t>Pinal</t>
        </is>
      </c>
    </row>
    <row r="953">
      <c r="Y953" t="inlineStr">
        <is>
          <t>Mosquera</t>
        </is>
      </c>
      <c r="Z953" t="inlineStr">
        <is>
          <t>Playa Nueva</t>
        </is>
      </c>
    </row>
    <row r="954">
      <c r="Y954" t="inlineStr">
        <is>
          <t>Mosquera</t>
        </is>
      </c>
      <c r="Z954" t="inlineStr">
        <is>
          <t>Salango</t>
        </is>
      </c>
    </row>
    <row r="955">
      <c r="Y955" t="inlineStr">
        <is>
          <t>Mosquera</t>
        </is>
      </c>
      <c r="Z955" t="inlineStr">
        <is>
          <t>Santa Rosita</t>
        </is>
      </c>
    </row>
    <row r="956">
      <c r="Y956" t="inlineStr">
        <is>
          <t>Mosquera</t>
        </is>
      </c>
      <c r="Z956" t="inlineStr">
        <is>
          <t>Tierra Firme</t>
        </is>
      </c>
    </row>
    <row r="957">
      <c r="Y957" t="inlineStr">
        <is>
          <t>Nariño</t>
        </is>
      </c>
      <c r="Z957" t="inlineStr">
        <is>
          <t>Alto Pradera</t>
        </is>
      </c>
    </row>
    <row r="958">
      <c r="Y958" t="inlineStr">
        <is>
          <t>Nariño</t>
        </is>
      </c>
      <c r="Z958" t="inlineStr">
        <is>
          <t>Chorrillo</t>
        </is>
      </c>
    </row>
    <row r="959">
      <c r="Y959" t="inlineStr">
        <is>
          <t>Nariño</t>
        </is>
      </c>
      <c r="Z959" t="inlineStr">
        <is>
          <t>El Silencio</t>
        </is>
      </c>
    </row>
    <row r="960">
      <c r="Y960" t="inlineStr">
        <is>
          <t>Nariño</t>
        </is>
      </c>
      <c r="Z960" t="inlineStr">
        <is>
          <t>Pozo Verde</t>
        </is>
      </c>
    </row>
    <row r="961">
      <c r="Y961" t="inlineStr">
        <is>
          <t>Nariño</t>
        </is>
      </c>
      <c r="Z961" t="inlineStr">
        <is>
          <t>Yunguillo</t>
        </is>
      </c>
    </row>
    <row r="962">
      <c r="Y962" t="inlineStr">
        <is>
          <t>Olaya Herrera</t>
        </is>
      </c>
      <c r="Z962" t="inlineStr">
        <is>
          <t>Antequera</t>
        </is>
      </c>
    </row>
    <row r="963">
      <c r="Y963" t="inlineStr">
        <is>
          <t>Olaya Herrera</t>
        </is>
      </c>
      <c r="Z963" t="inlineStr">
        <is>
          <t>Barracoita</t>
        </is>
      </c>
    </row>
    <row r="964">
      <c r="Y964" t="inlineStr">
        <is>
          <t>Olaya Herrera</t>
        </is>
      </c>
      <c r="Z964" t="inlineStr">
        <is>
          <t>Barracota</t>
        </is>
      </c>
    </row>
    <row r="965">
      <c r="Y965" t="inlineStr">
        <is>
          <t>Olaya Herrera</t>
        </is>
      </c>
      <c r="Z965" t="inlineStr">
        <is>
          <t>Barro Caliente</t>
        </is>
      </c>
    </row>
    <row r="966">
      <c r="Y966" t="inlineStr">
        <is>
          <t>Olaya Herrera</t>
        </is>
      </c>
      <c r="Z966" t="inlineStr">
        <is>
          <t>Calabazal</t>
        </is>
      </c>
    </row>
    <row r="967">
      <c r="Y967" t="inlineStr">
        <is>
          <t>Olaya Herrera</t>
        </is>
      </c>
      <c r="Z967" t="inlineStr">
        <is>
          <t>Caña</t>
        </is>
      </c>
    </row>
    <row r="968">
      <c r="Y968" t="inlineStr">
        <is>
          <t>Olaya Herrera</t>
        </is>
      </c>
      <c r="Z968" t="inlineStr">
        <is>
          <t>Chapil</t>
        </is>
      </c>
    </row>
    <row r="969">
      <c r="Y969" t="inlineStr">
        <is>
          <t>Olaya Herrera</t>
        </is>
      </c>
      <c r="Z969" t="inlineStr">
        <is>
          <t>El Carmen</t>
        </is>
      </c>
    </row>
    <row r="970">
      <c r="Y970" t="inlineStr">
        <is>
          <t>Olaya Herrera</t>
        </is>
      </c>
      <c r="Z970" t="inlineStr">
        <is>
          <t>El Cedro</t>
        </is>
      </c>
    </row>
    <row r="971">
      <c r="Y971" t="inlineStr">
        <is>
          <t>Olaya Herrera</t>
        </is>
      </c>
      <c r="Z971" t="inlineStr">
        <is>
          <t>El Chicu</t>
        </is>
      </c>
    </row>
    <row r="972">
      <c r="Y972" t="inlineStr">
        <is>
          <t>Olaya Herrera</t>
        </is>
      </c>
      <c r="Z972" t="inlineStr">
        <is>
          <t>El Gallinazo</t>
        </is>
      </c>
    </row>
    <row r="973">
      <c r="Y973" t="inlineStr">
        <is>
          <t>Olaya Herrera</t>
        </is>
      </c>
      <c r="Z973" t="inlineStr">
        <is>
          <t>El Guabillo</t>
        </is>
      </c>
    </row>
    <row r="974">
      <c r="Y974" t="inlineStr">
        <is>
          <t>Olaya Herrera</t>
        </is>
      </c>
      <c r="Z974" t="inlineStr">
        <is>
          <t>El Porvenir</t>
        </is>
      </c>
    </row>
    <row r="975">
      <c r="Y975" t="inlineStr">
        <is>
          <t>Olaya Herrera</t>
        </is>
      </c>
      <c r="Z975" t="inlineStr">
        <is>
          <t>El Recodo</t>
        </is>
      </c>
    </row>
    <row r="976">
      <c r="Y976" t="inlineStr">
        <is>
          <t>Olaya Herrera</t>
        </is>
      </c>
      <c r="Z976" t="inlineStr">
        <is>
          <t>Galdamez</t>
        </is>
      </c>
    </row>
    <row r="977">
      <c r="Y977" t="inlineStr">
        <is>
          <t>Olaya Herrera</t>
        </is>
      </c>
      <c r="Z977" t="inlineStr">
        <is>
          <t>Guabal</t>
        </is>
      </c>
    </row>
    <row r="978">
      <c r="Y978" t="inlineStr">
        <is>
          <t>Olaya Herrera</t>
        </is>
      </c>
      <c r="Z978" t="inlineStr">
        <is>
          <t>Jorge Elicer Gaitan</t>
        </is>
      </c>
    </row>
    <row r="979">
      <c r="Y979" t="inlineStr">
        <is>
          <t>Olaya Herrera</t>
        </is>
      </c>
      <c r="Z979" t="inlineStr">
        <is>
          <t>La Soledad</t>
        </is>
      </c>
    </row>
    <row r="980">
      <c r="Y980" t="inlineStr">
        <is>
          <t>Olaya Herrera</t>
        </is>
      </c>
      <c r="Z980" t="inlineStr">
        <is>
          <t>La Traviesa</t>
        </is>
      </c>
    </row>
    <row r="981">
      <c r="Y981" t="inlineStr">
        <is>
          <t>Olaya Herrera</t>
        </is>
      </c>
      <c r="Z981" t="inlineStr">
        <is>
          <t>Majabo</t>
        </is>
      </c>
    </row>
    <row r="982">
      <c r="Y982" t="inlineStr">
        <is>
          <t>Olaya Herrera</t>
        </is>
      </c>
      <c r="Z982" t="inlineStr">
        <is>
          <t>Mojarrera</t>
        </is>
      </c>
    </row>
    <row r="983">
      <c r="Y983" t="inlineStr">
        <is>
          <t>Olaya Herrera</t>
        </is>
      </c>
      <c r="Z983" t="inlineStr">
        <is>
          <t>Nariño</t>
        </is>
      </c>
    </row>
    <row r="984">
      <c r="Y984" t="inlineStr">
        <is>
          <t>Olaya Herrera</t>
        </is>
      </c>
      <c r="Z984" t="inlineStr">
        <is>
          <t>Nerete</t>
        </is>
      </c>
    </row>
    <row r="985">
      <c r="Y985" t="inlineStr">
        <is>
          <t>Olaya Herrera</t>
        </is>
      </c>
      <c r="Z985" t="inlineStr">
        <is>
          <t>Nueva Invencion</t>
        </is>
      </c>
    </row>
    <row r="986">
      <c r="Y986" t="inlineStr">
        <is>
          <t>Olaya Herrera</t>
        </is>
      </c>
      <c r="Z986" t="inlineStr">
        <is>
          <t>Paispamba</t>
        </is>
      </c>
    </row>
    <row r="987">
      <c r="Y987" t="inlineStr">
        <is>
          <t>Olaya Herrera</t>
        </is>
      </c>
      <c r="Z987" t="inlineStr">
        <is>
          <t>Palizada</t>
        </is>
      </c>
    </row>
    <row r="988">
      <c r="Y988" t="inlineStr">
        <is>
          <t>Olaya Herrera</t>
        </is>
      </c>
      <c r="Z988" t="inlineStr">
        <is>
          <t>Quitasol</t>
        </is>
      </c>
    </row>
    <row r="989">
      <c r="Y989" t="inlineStr">
        <is>
          <t>Olaya Herrera</t>
        </is>
      </c>
      <c r="Z989" t="inlineStr">
        <is>
          <t>Salvador Perlaza Cepangue</t>
        </is>
      </c>
    </row>
    <row r="990">
      <c r="Y990" t="inlineStr">
        <is>
          <t>Olaya Herrera</t>
        </is>
      </c>
      <c r="Z990" t="inlineStr">
        <is>
          <t>San Antonio</t>
        </is>
      </c>
    </row>
    <row r="991">
      <c r="Y991" t="inlineStr">
        <is>
          <t>Olaya Herrera</t>
        </is>
      </c>
      <c r="Z991" t="inlineStr">
        <is>
          <t>San José</t>
        </is>
      </c>
    </row>
    <row r="992">
      <c r="Y992" t="inlineStr">
        <is>
          <t>Olaya Herrera</t>
        </is>
      </c>
      <c r="Z992" t="inlineStr">
        <is>
          <t>San Jose</t>
        </is>
      </c>
    </row>
    <row r="993">
      <c r="Y993" t="inlineStr">
        <is>
          <t>Olaya Herrera</t>
        </is>
      </c>
      <c r="Z993" t="inlineStr">
        <is>
          <t>Sin Informacion</t>
        </is>
      </c>
    </row>
    <row r="994">
      <c r="Y994" t="inlineStr">
        <is>
          <t>Olaya Herrera</t>
        </is>
      </c>
      <c r="Z994" t="inlineStr">
        <is>
          <t>Sucre</t>
        </is>
      </c>
    </row>
    <row r="995">
      <c r="Y995" t="inlineStr">
        <is>
          <t>Olaya Herrera</t>
        </is>
      </c>
      <c r="Z995" t="inlineStr">
        <is>
          <t>Tame</t>
        </is>
      </c>
    </row>
    <row r="996">
      <c r="Y996" t="inlineStr">
        <is>
          <t>Olaya Herrera</t>
        </is>
      </c>
      <c r="Z996" t="inlineStr">
        <is>
          <t>Tangarial</t>
        </is>
      </c>
    </row>
    <row r="997">
      <c r="Y997" t="inlineStr">
        <is>
          <t>Ospina</t>
        </is>
      </c>
      <c r="Z997" t="inlineStr">
        <is>
          <t>Casco Urbano</t>
        </is>
      </c>
    </row>
    <row r="998">
      <c r="Y998" t="inlineStr">
        <is>
          <t>Ospina</t>
        </is>
      </c>
      <c r="Z998" t="inlineStr">
        <is>
          <t>Cuadquiran</t>
        </is>
      </c>
    </row>
    <row r="999">
      <c r="Y999" t="inlineStr">
        <is>
          <t>Ospina</t>
        </is>
      </c>
      <c r="Z999" t="inlineStr">
        <is>
          <t>Cunchila</t>
        </is>
      </c>
    </row>
    <row r="1000">
      <c r="Y1000" t="inlineStr">
        <is>
          <t>Ospina</t>
        </is>
      </c>
      <c r="Z1000" t="inlineStr">
        <is>
          <t>Florida</t>
        </is>
      </c>
    </row>
    <row r="1001">
      <c r="Y1001" t="inlineStr">
        <is>
          <t>Ospina</t>
        </is>
      </c>
      <c r="Z1001" t="inlineStr">
        <is>
          <t>Gavilanes</t>
        </is>
      </c>
    </row>
    <row r="1002">
      <c r="Y1002" t="inlineStr">
        <is>
          <t>Ospina</t>
        </is>
      </c>
      <c r="Z1002" t="inlineStr">
        <is>
          <t>Manzano - las Nieves</t>
        </is>
      </c>
    </row>
    <row r="1003">
      <c r="Y1003" t="inlineStr">
        <is>
          <t>Ospina</t>
        </is>
      </c>
      <c r="Z1003" t="inlineStr">
        <is>
          <t>Mercedes</t>
        </is>
      </c>
    </row>
    <row r="1004">
      <c r="Y1004" t="inlineStr">
        <is>
          <t>Ospina</t>
        </is>
      </c>
      <c r="Z1004" t="inlineStr">
        <is>
          <t>Nariño</t>
        </is>
      </c>
    </row>
    <row r="1005">
      <c r="Y1005" t="inlineStr">
        <is>
          <t>Ospina</t>
        </is>
      </c>
      <c r="Z1005" t="inlineStr">
        <is>
          <t>San Antonio</t>
        </is>
      </c>
    </row>
    <row r="1006">
      <c r="Y1006" t="inlineStr">
        <is>
          <t>Ospina</t>
        </is>
      </c>
      <c r="Z1006" t="inlineStr">
        <is>
          <t>San Isidro</t>
        </is>
      </c>
    </row>
    <row r="1007">
      <c r="Y1007" t="inlineStr">
        <is>
          <t>Ospina</t>
        </is>
      </c>
      <c r="Z1007" t="inlineStr">
        <is>
          <t>San José</t>
        </is>
      </c>
    </row>
    <row r="1008">
      <c r="Y1008" t="inlineStr">
        <is>
          <t>Ospina</t>
        </is>
      </c>
      <c r="Z1008" t="inlineStr">
        <is>
          <t>San Miguel</t>
        </is>
      </c>
    </row>
    <row r="1009">
      <c r="Y1009" t="inlineStr">
        <is>
          <t>Ospina</t>
        </is>
      </c>
      <c r="Z1009" t="inlineStr">
        <is>
          <t>San Vicente</t>
        </is>
      </c>
    </row>
    <row r="1010">
      <c r="Y1010" t="inlineStr">
        <is>
          <t>Ospina</t>
        </is>
      </c>
      <c r="Z1010" t="inlineStr">
        <is>
          <t>Villa del Sur</t>
        </is>
      </c>
    </row>
    <row r="1011">
      <c r="Y1011" t="inlineStr">
        <is>
          <t>Pasto</t>
        </is>
      </c>
      <c r="Z1011" t="inlineStr">
        <is>
          <t>Aguapamba</t>
        </is>
      </c>
    </row>
    <row r="1012">
      <c r="Y1012" t="inlineStr">
        <is>
          <t>Pasto</t>
        </is>
      </c>
      <c r="Z1012" t="inlineStr">
        <is>
          <t>Alto Arayan</t>
        </is>
      </c>
    </row>
    <row r="1013">
      <c r="Y1013" t="inlineStr">
        <is>
          <t>Pasto</t>
        </is>
      </c>
      <c r="Z1013" t="inlineStr">
        <is>
          <t>Alto Casanare</t>
        </is>
      </c>
    </row>
    <row r="1014">
      <c r="Y1014" t="inlineStr">
        <is>
          <t>Pasto</t>
        </is>
      </c>
      <c r="Z1014" t="inlineStr">
        <is>
          <t>Alto San Fernando</t>
        </is>
      </c>
    </row>
    <row r="1015">
      <c r="Y1015" t="inlineStr">
        <is>
          <t>Pasto</t>
        </is>
      </c>
      <c r="Z1015" t="inlineStr">
        <is>
          <t>Anganoy</t>
        </is>
      </c>
    </row>
    <row r="1016">
      <c r="Y1016" t="inlineStr">
        <is>
          <t>Pasto</t>
        </is>
      </c>
      <c r="Z1016" t="inlineStr">
        <is>
          <t>Armenia</t>
        </is>
      </c>
    </row>
    <row r="1017">
      <c r="Y1017" t="inlineStr">
        <is>
          <t>Pasto</t>
        </is>
      </c>
      <c r="Z1017" t="inlineStr">
        <is>
          <t>Arrayamba</t>
        </is>
      </c>
    </row>
    <row r="1018">
      <c r="Y1018" t="inlineStr">
        <is>
          <t>Pasto</t>
        </is>
      </c>
      <c r="Z1018" t="inlineStr">
        <is>
          <t>Bajo Casanare</t>
        </is>
      </c>
    </row>
    <row r="1019">
      <c r="Y1019" t="inlineStr">
        <is>
          <t>Pasto</t>
        </is>
      </c>
      <c r="Z1019" t="inlineStr">
        <is>
          <t>Bella Vista</t>
        </is>
      </c>
    </row>
    <row r="1020">
      <c r="Y1020" t="inlineStr">
        <is>
          <t>Pasto</t>
        </is>
      </c>
      <c r="Z1020" t="inlineStr">
        <is>
          <t>Botana</t>
        </is>
      </c>
    </row>
    <row r="1021">
      <c r="Y1021" t="inlineStr">
        <is>
          <t>Pasto</t>
        </is>
      </c>
      <c r="Z1021" t="inlineStr">
        <is>
          <t>Botanilla</t>
        </is>
      </c>
    </row>
    <row r="1022">
      <c r="Y1022" t="inlineStr">
        <is>
          <t>Pasto</t>
        </is>
      </c>
      <c r="Z1022" t="inlineStr">
        <is>
          <t>Briceño Alto</t>
        </is>
      </c>
    </row>
    <row r="1023">
      <c r="Y1023" t="inlineStr">
        <is>
          <t>Pasto</t>
        </is>
      </c>
      <c r="Z1023" t="inlineStr">
        <is>
          <t>Buena Vista Alto</t>
        </is>
      </c>
    </row>
    <row r="1024">
      <c r="Y1024" t="inlineStr">
        <is>
          <t>Pasto</t>
        </is>
      </c>
      <c r="Z1024" t="inlineStr">
        <is>
          <t>Buena Vista Bajo</t>
        </is>
      </c>
    </row>
    <row r="1025">
      <c r="Y1025" t="inlineStr">
        <is>
          <t>Pasto</t>
        </is>
      </c>
      <c r="Z1025" t="inlineStr">
        <is>
          <t>Buesaquillo Centro</t>
        </is>
      </c>
    </row>
    <row r="1026">
      <c r="Y1026" t="inlineStr">
        <is>
          <t>Pasto</t>
        </is>
      </c>
      <c r="Z1026" t="inlineStr">
        <is>
          <t>Cabrera Centro</t>
        </is>
      </c>
    </row>
    <row r="1027">
      <c r="Y1027" t="inlineStr">
        <is>
          <t>Pasto</t>
        </is>
      </c>
      <c r="Z1027" t="inlineStr">
        <is>
          <t>Cachatoy</t>
        </is>
      </c>
    </row>
    <row r="1028">
      <c r="Y1028" t="inlineStr">
        <is>
          <t>Pasto</t>
        </is>
      </c>
      <c r="Z1028" t="inlineStr">
        <is>
          <t>Caldera</t>
        </is>
      </c>
    </row>
    <row r="1029">
      <c r="Y1029" t="inlineStr">
        <is>
          <t>Pasto</t>
        </is>
      </c>
      <c r="Z1029" t="inlineStr">
        <is>
          <t>Caldera Centro</t>
        </is>
      </c>
    </row>
    <row r="1030">
      <c r="Y1030" t="inlineStr">
        <is>
          <t>Pasto</t>
        </is>
      </c>
      <c r="Z1030" t="inlineStr">
        <is>
          <t>Camino Real</t>
        </is>
      </c>
    </row>
    <row r="1031">
      <c r="Y1031" t="inlineStr">
        <is>
          <t>Pasto</t>
        </is>
      </c>
      <c r="Z1031" t="inlineStr">
        <is>
          <t>Campanero</t>
        </is>
      </c>
    </row>
    <row r="1032">
      <c r="Y1032" t="inlineStr">
        <is>
          <t>Pasto</t>
        </is>
      </c>
      <c r="Z1032" t="inlineStr">
        <is>
          <t>Campo Alegre</t>
        </is>
      </c>
    </row>
    <row r="1033">
      <c r="Y1033" t="inlineStr">
        <is>
          <t>Pasto</t>
        </is>
      </c>
      <c r="Z1033" t="inlineStr">
        <is>
          <t>Caracolito</t>
        </is>
      </c>
    </row>
    <row r="1034">
      <c r="Y1034" t="inlineStr">
        <is>
          <t>Pasto</t>
        </is>
      </c>
      <c r="Z1034" t="inlineStr">
        <is>
          <t>Casapamba</t>
        </is>
      </c>
    </row>
    <row r="1035">
      <c r="Y1035" t="inlineStr">
        <is>
          <t>Pasto</t>
        </is>
      </c>
      <c r="Z1035" t="inlineStr">
        <is>
          <t>Castillo Loma</t>
        </is>
      </c>
    </row>
    <row r="1036">
      <c r="Y1036" t="inlineStr">
        <is>
          <t>Pasto</t>
        </is>
      </c>
      <c r="Z1036" t="inlineStr">
        <is>
          <t>Catambuco</t>
        </is>
      </c>
    </row>
    <row r="1037">
      <c r="Y1037" t="inlineStr">
        <is>
          <t>Pasto</t>
        </is>
      </c>
      <c r="Z1037" t="inlineStr">
        <is>
          <t>Centro de San Fernando</t>
        </is>
      </c>
    </row>
    <row r="1038">
      <c r="Y1038" t="inlineStr">
        <is>
          <t>Pasto</t>
        </is>
      </c>
      <c r="Z1038" t="inlineStr">
        <is>
          <t>Cerotal</t>
        </is>
      </c>
    </row>
    <row r="1039">
      <c r="Y1039" t="inlineStr">
        <is>
          <t>Pasto</t>
        </is>
      </c>
      <c r="Z1039" t="inlineStr">
        <is>
          <t>Charguayaco</t>
        </is>
      </c>
    </row>
    <row r="1040">
      <c r="Y1040" t="inlineStr">
        <is>
          <t>Pasto</t>
        </is>
      </c>
      <c r="Z1040" t="inlineStr">
        <is>
          <t>Chavez</t>
        </is>
      </c>
    </row>
    <row r="1041">
      <c r="Y1041" t="inlineStr">
        <is>
          <t>Pasto</t>
        </is>
      </c>
      <c r="Z1041" t="inlineStr">
        <is>
          <t>Concepción</t>
        </is>
      </c>
    </row>
    <row r="1042">
      <c r="Y1042" t="inlineStr">
        <is>
          <t>Pasto</t>
        </is>
      </c>
      <c r="Z1042" t="inlineStr">
        <is>
          <t>Cruz de Amarillo</t>
        </is>
      </c>
    </row>
    <row r="1043">
      <c r="Y1043" t="inlineStr">
        <is>
          <t>Pasto</t>
        </is>
      </c>
      <c r="Z1043" t="inlineStr">
        <is>
          <t>Cubijan Alto</t>
        </is>
      </c>
    </row>
    <row r="1044">
      <c r="Y1044" t="inlineStr">
        <is>
          <t>Pasto</t>
        </is>
      </c>
      <c r="Z1044" t="inlineStr">
        <is>
          <t>Cujacal Alto</t>
        </is>
      </c>
    </row>
    <row r="1045">
      <c r="Y1045" t="inlineStr">
        <is>
          <t>Pasto</t>
        </is>
      </c>
      <c r="Z1045" t="inlineStr">
        <is>
          <t>Cujacal Centro</t>
        </is>
      </c>
    </row>
    <row r="1046">
      <c r="Y1046" t="inlineStr">
        <is>
          <t>Pasto</t>
        </is>
      </c>
      <c r="Z1046" t="inlineStr">
        <is>
          <t>Daza</t>
        </is>
      </c>
    </row>
    <row r="1047">
      <c r="Y1047" t="inlineStr">
        <is>
          <t>Pasto</t>
        </is>
      </c>
      <c r="Z1047" t="inlineStr">
        <is>
          <t>Dolores</t>
        </is>
      </c>
    </row>
    <row r="1048">
      <c r="Y1048" t="inlineStr">
        <is>
          <t>Pasto</t>
        </is>
      </c>
      <c r="Z1048" t="inlineStr">
        <is>
          <t>Dolores Reten</t>
        </is>
      </c>
    </row>
    <row r="1049">
      <c r="Y1049" t="inlineStr">
        <is>
          <t>Pasto</t>
        </is>
      </c>
      <c r="Z1049" t="inlineStr">
        <is>
          <t>Duarte</t>
        </is>
      </c>
    </row>
    <row r="1050">
      <c r="Y1050" t="inlineStr">
        <is>
          <t>Pasto</t>
        </is>
      </c>
      <c r="Z1050" t="inlineStr">
        <is>
          <t>El Carmen</t>
        </is>
      </c>
    </row>
    <row r="1051">
      <c r="Y1051" t="inlineStr">
        <is>
          <t>Pasto</t>
        </is>
      </c>
      <c r="Z1051" t="inlineStr">
        <is>
          <t>El Carrizo</t>
        </is>
      </c>
    </row>
    <row r="1052">
      <c r="Y1052" t="inlineStr">
        <is>
          <t>Pasto</t>
        </is>
      </c>
      <c r="Z1052" t="inlineStr">
        <is>
          <t>El Común</t>
        </is>
      </c>
    </row>
    <row r="1053">
      <c r="Y1053" t="inlineStr">
        <is>
          <t>Pasto</t>
        </is>
      </c>
      <c r="Z1053" t="inlineStr">
        <is>
          <t>El Edén</t>
        </is>
      </c>
    </row>
    <row r="1054">
      <c r="Y1054" t="inlineStr">
        <is>
          <t>Pasto</t>
        </is>
      </c>
      <c r="Z1054" t="inlineStr">
        <is>
          <t>El Estero</t>
        </is>
      </c>
    </row>
    <row r="1055">
      <c r="Y1055" t="inlineStr">
        <is>
          <t>Pasto</t>
        </is>
      </c>
      <c r="Z1055" t="inlineStr">
        <is>
          <t>El Motilón</t>
        </is>
      </c>
    </row>
    <row r="1056">
      <c r="Y1056" t="inlineStr">
        <is>
          <t>Pasto</t>
        </is>
      </c>
      <c r="Z1056" t="inlineStr">
        <is>
          <t>El Puerto</t>
        </is>
      </c>
    </row>
    <row r="1057">
      <c r="Y1057" t="inlineStr">
        <is>
          <t>Pasto</t>
        </is>
      </c>
      <c r="Z1057" t="inlineStr">
        <is>
          <t>El Socorro</t>
        </is>
      </c>
    </row>
    <row r="1058">
      <c r="Y1058" t="inlineStr">
        <is>
          <t>Pasto</t>
        </is>
      </c>
      <c r="Z1058" t="inlineStr">
        <is>
          <t>Fatima</t>
        </is>
      </c>
    </row>
    <row r="1059">
      <c r="Y1059" t="inlineStr">
        <is>
          <t>Pasto</t>
        </is>
      </c>
      <c r="Z1059" t="inlineStr">
        <is>
          <t>Francisco</t>
        </is>
      </c>
    </row>
    <row r="1060">
      <c r="Y1060" t="inlineStr">
        <is>
          <t>Pasto</t>
        </is>
      </c>
      <c r="Z1060" t="inlineStr">
        <is>
          <t>Francisco Buesaquillo</t>
        </is>
      </c>
    </row>
    <row r="1061">
      <c r="Y1061" t="inlineStr">
        <is>
          <t>Pasto</t>
        </is>
      </c>
      <c r="Z1061" t="inlineStr">
        <is>
          <t>Fray Ezequiel</t>
        </is>
      </c>
    </row>
    <row r="1062">
      <c r="Y1062" t="inlineStr">
        <is>
          <t>Pasto</t>
        </is>
      </c>
      <c r="Z1062" t="inlineStr">
        <is>
          <t>Guadalupe</t>
        </is>
      </c>
    </row>
    <row r="1063">
      <c r="Y1063" t="inlineStr">
        <is>
          <t>Pasto</t>
        </is>
      </c>
      <c r="Z1063" t="inlineStr">
        <is>
          <t>Gualamatán Alto</t>
        </is>
      </c>
    </row>
    <row r="1064">
      <c r="Y1064" t="inlineStr">
        <is>
          <t>Pasto</t>
        </is>
      </c>
      <c r="Z1064" t="inlineStr">
        <is>
          <t>Gualmatán Centro</t>
        </is>
      </c>
    </row>
    <row r="1065">
      <c r="Y1065" t="inlineStr">
        <is>
          <t>Pasto</t>
        </is>
      </c>
      <c r="Z1065" t="inlineStr">
        <is>
          <t>Huertecillas</t>
        </is>
      </c>
    </row>
    <row r="1066">
      <c r="Y1066" t="inlineStr">
        <is>
          <t>Pasto</t>
        </is>
      </c>
      <c r="Z1066" t="inlineStr">
        <is>
          <t>Jengovito Centro</t>
        </is>
      </c>
    </row>
    <row r="1067">
      <c r="Y1067" t="inlineStr">
        <is>
          <t>Pasto</t>
        </is>
      </c>
      <c r="Z1067" t="inlineStr">
        <is>
          <t>Josefina</t>
        </is>
      </c>
    </row>
    <row r="1068">
      <c r="Y1068" t="inlineStr">
        <is>
          <t>Pasto</t>
        </is>
      </c>
      <c r="Z1068" t="inlineStr">
        <is>
          <t>Jurado</t>
        </is>
      </c>
    </row>
    <row r="1069">
      <c r="Y1069" t="inlineStr">
        <is>
          <t>Pasto</t>
        </is>
      </c>
      <c r="Z1069" t="inlineStr">
        <is>
          <t>La Cadena</t>
        </is>
      </c>
    </row>
    <row r="1070">
      <c r="Y1070" t="inlineStr">
        <is>
          <t>Pasto</t>
        </is>
      </c>
      <c r="Z1070" t="inlineStr">
        <is>
          <t>La Cocha</t>
        </is>
      </c>
    </row>
    <row r="1071">
      <c r="Y1071" t="inlineStr">
        <is>
          <t>Pasto</t>
        </is>
      </c>
      <c r="Z1071" t="inlineStr">
        <is>
          <t>La Esperanza</t>
        </is>
      </c>
    </row>
    <row r="1072">
      <c r="Y1072" t="inlineStr">
        <is>
          <t>Pasto</t>
        </is>
      </c>
      <c r="Z1072" t="inlineStr">
        <is>
          <t>La Merced</t>
        </is>
      </c>
    </row>
    <row r="1073">
      <c r="Y1073" t="inlineStr">
        <is>
          <t>Pasto</t>
        </is>
      </c>
      <c r="Z1073" t="inlineStr">
        <is>
          <t>La Paz</t>
        </is>
      </c>
    </row>
    <row r="1074">
      <c r="Y1074" t="inlineStr">
        <is>
          <t>Pasto</t>
        </is>
      </c>
      <c r="Z1074" t="inlineStr">
        <is>
          <t>La Playa</t>
        </is>
      </c>
    </row>
    <row r="1075">
      <c r="Y1075" t="inlineStr">
        <is>
          <t>Pasto</t>
        </is>
      </c>
      <c r="Z1075" t="inlineStr">
        <is>
          <t>La Victoria</t>
        </is>
      </c>
    </row>
    <row r="1076">
      <c r="Y1076" t="inlineStr">
        <is>
          <t>Pasto</t>
        </is>
      </c>
      <c r="Z1076" t="inlineStr">
        <is>
          <t>Las Encinas</t>
        </is>
      </c>
    </row>
    <row r="1077">
      <c r="Y1077" t="inlineStr">
        <is>
          <t>Pasto</t>
        </is>
      </c>
      <c r="Z1077" t="inlineStr">
        <is>
          <t>Lirios</t>
        </is>
      </c>
    </row>
    <row r="1078">
      <c r="Y1078" t="inlineStr">
        <is>
          <t>Pasto</t>
        </is>
      </c>
      <c r="Z1078" t="inlineStr">
        <is>
          <t>Los Alisales</t>
        </is>
      </c>
    </row>
    <row r="1079">
      <c r="Y1079" t="inlineStr">
        <is>
          <t>Pasto</t>
        </is>
      </c>
      <c r="Z1079" t="inlineStr">
        <is>
          <t>Los Ángeles</t>
        </is>
      </c>
    </row>
    <row r="1080">
      <c r="Y1080" t="inlineStr">
        <is>
          <t>Pasto</t>
        </is>
      </c>
      <c r="Z1080" t="inlineStr">
        <is>
          <t>Mapachico</t>
        </is>
      </c>
    </row>
    <row r="1081">
      <c r="Y1081" t="inlineStr">
        <is>
          <t>Pasto</t>
        </is>
      </c>
      <c r="Z1081" t="inlineStr">
        <is>
          <t>Mocondino</t>
        </is>
      </c>
    </row>
    <row r="1082">
      <c r="Y1082" t="inlineStr">
        <is>
          <t>Pasto</t>
        </is>
      </c>
      <c r="Z1082" t="inlineStr">
        <is>
          <t>Mojondinoy</t>
        </is>
      </c>
    </row>
    <row r="1083">
      <c r="Y1083" t="inlineStr">
        <is>
          <t>Pasto</t>
        </is>
      </c>
      <c r="Z1083" t="inlineStr">
        <is>
          <t>Mosquera</t>
        </is>
      </c>
    </row>
    <row r="1084">
      <c r="Y1084" t="inlineStr">
        <is>
          <t>Pasto</t>
        </is>
      </c>
      <c r="Z1084" t="inlineStr">
        <is>
          <t>Narajal</t>
        </is>
      </c>
    </row>
    <row r="1085">
      <c r="Y1085" t="inlineStr">
        <is>
          <t>Pasto</t>
        </is>
      </c>
      <c r="Z1085" t="inlineStr">
        <is>
          <t>Nueva Betania</t>
        </is>
      </c>
    </row>
    <row r="1086">
      <c r="Y1086" t="inlineStr">
        <is>
          <t>Pasto</t>
        </is>
      </c>
      <c r="Z1086" t="inlineStr">
        <is>
          <t>Nueva Campiña</t>
        </is>
      </c>
    </row>
    <row r="1087">
      <c r="Y1087" t="inlineStr">
        <is>
          <t>Pasto</t>
        </is>
      </c>
      <c r="Z1087" t="inlineStr">
        <is>
          <t>Obouco Centro</t>
        </is>
      </c>
    </row>
    <row r="1088">
      <c r="Y1088" t="inlineStr">
        <is>
          <t>Pasto</t>
        </is>
      </c>
      <c r="Z1088" t="inlineStr">
        <is>
          <t>Pejendino Reyes</t>
        </is>
      </c>
    </row>
    <row r="1089">
      <c r="Y1089" t="inlineStr">
        <is>
          <t>Pasto</t>
        </is>
      </c>
      <c r="Z1089" t="inlineStr">
        <is>
          <t>Pinasaco</t>
        </is>
      </c>
    </row>
    <row r="1090">
      <c r="Y1090" t="inlineStr">
        <is>
          <t>Pasto</t>
        </is>
      </c>
      <c r="Z1090" t="inlineStr">
        <is>
          <t>Pradera</t>
        </is>
      </c>
    </row>
    <row r="1091">
      <c r="Y1091" t="inlineStr">
        <is>
          <t>Pasto</t>
        </is>
      </c>
      <c r="Z1091" t="inlineStr">
        <is>
          <t>Pullitopamba</t>
        </is>
      </c>
    </row>
    <row r="1092">
      <c r="Y1092" t="inlineStr">
        <is>
          <t>Pasto</t>
        </is>
      </c>
      <c r="Z1092" t="inlineStr">
        <is>
          <t>Purgatorio</t>
        </is>
      </c>
    </row>
    <row r="1093">
      <c r="Y1093" t="inlineStr">
        <is>
          <t>Pasto</t>
        </is>
      </c>
      <c r="Z1093" t="inlineStr">
        <is>
          <t>Quichimarca</t>
        </is>
      </c>
    </row>
    <row r="1094">
      <c r="Y1094" t="inlineStr">
        <is>
          <t>Pasto</t>
        </is>
      </c>
      <c r="Z1094" t="inlineStr">
        <is>
          <t>Ramos</t>
        </is>
      </c>
    </row>
    <row r="1095">
      <c r="Y1095" t="inlineStr">
        <is>
          <t>Pasto</t>
        </is>
      </c>
      <c r="Z1095" t="inlineStr">
        <is>
          <t>Río Bobo</t>
        </is>
      </c>
    </row>
    <row r="1096">
      <c r="Y1096" t="inlineStr">
        <is>
          <t>Pasto</t>
        </is>
      </c>
      <c r="Z1096" t="inlineStr">
        <is>
          <t>Romerillo</t>
        </is>
      </c>
    </row>
    <row r="1097">
      <c r="Y1097" t="inlineStr">
        <is>
          <t>Pasto</t>
        </is>
      </c>
      <c r="Z1097" t="inlineStr">
        <is>
          <t>Rosal</t>
        </is>
      </c>
    </row>
    <row r="1098">
      <c r="Y1098" t="inlineStr">
        <is>
          <t>Pasto</t>
        </is>
      </c>
      <c r="Z1098" t="inlineStr">
        <is>
          <t>San Antonio</t>
        </is>
      </c>
    </row>
    <row r="1099">
      <c r="Y1099" t="inlineStr">
        <is>
          <t>Pasto</t>
        </is>
      </c>
      <c r="Z1099" t="inlineStr">
        <is>
          <t>San Antonio de Acuyuyo</t>
        </is>
      </c>
    </row>
    <row r="1100">
      <c r="Y1100" t="inlineStr">
        <is>
          <t>Pasto</t>
        </is>
      </c>
      <c r="Z1100" t="inlineStr">
        <is>
          <t>San Antonio de Aranda</t>
        </is>
      </c>
    </row>
    <row r="1101">
      <c r="Y1101" t="inlineStr">
        <is>
          <t>Pasto</t>
        </is>
      </c>
      <c r="Z1101" t="inlineStr">
        <is>
          <t>San Antonio de Casanare</t>
        </is>
      </c>
    </row>
    <row r="1102">
      <c r="Y1102" t="inlineStr">
        <is>
          <t>Pasto</t>
        </is>
      </c>
      <c r="Z1102" t="inlineStr">
        <is>
          <t>San Cayetano</t>
        </is>
      </c>
    </row>
    <row r="1103">
      <c r="Y1103" t="inlineStr">
        <is>
          <t>Pasto</t>
        </is>
      </c>
      <c r="Z1103" t="inlineStr">
        <is>
          <t>San Felipe Alto</t>
        </is>
      </c>
    </row>
    <row r="1104">
      <c r="Y1104" t="inlineStr">
        <is>
          <t>Pasto</t>
        </is>
      </c>
      <c r="Z1104" t="inlineStr">
        <is>
          <t>San Felipe Bajo</t>
        </is>
      </c>
    </row>
    <row r="1105">
      <c r="Y1105" t="inlineStr">
        <is>
          <t>Pasto</t>
        </is>
      </c>
      <c r="Z1105" t="inlineStr">
        <is>
          <t>San Francisco Briceño</t>
        </is>
      </c>
    </row>
    <row r="1106">
      <c r="Y1106" t="inlineStr">
        <is>
          <t>Pasto</t>
        </is>
      </c>
      <c r="Z1106" t="inlineStr">
        <is>
          <t>San Gabriel</t>
        </is>
      </c>
    </row>
    <row r="1107">
      <c r="Y1107" t="inlineStr">
        <is>
          <t>Pasto</t>
        </is>
      </c>
      <c r="Z1107" t="inlineStr">
        <is>
          <t>San José de Catambuco</t>
        </is>
      </c>
    </row>
    <row r="1108">
      <c r="Y1108" t="inlineStr">
        <is>
          <t>Pasto</t>
        </is>
      </c>
      <c r="Z1108" t="inlineStr">
        <is>
          <t>San José del Casanare</t>
        </is>
      </c>
    </row>
    <row r="1109">
      <c r="Y1109" t="inlineStr">
        <is>
          <t>Pasto</t>
        </is>
      </c>
      <c r="Z1109" t="inlineStr">
        <is>
          <t>San Juan Alto</t>
        </is>
      </c>
    </row>
    <row r="1110">
      <c r="Y1110" t="inlineStr">
        <is>
          <t>Pasto</t>
        </is>
      </c>
      <c r="Z1110" t="inlineStr">
        <is>
          <t>San Juan Bajo</t>
        </is>
      </c>
    </row>
    <row r="1111">
      <c r="Y1111" t="inlineStr">
        <is>
          <t>Pasto</t>
        </is>
      </c>
      <c r="Z1111" t="inlineStr">
        <is>
          <t>San Juan de Anganoy</t>
        </is>
      </c>
    </row>
    <row r="1112">
      <c r="Y1112" t="inlineStr">
        <is>
          <t>Pasto</t>
        </is>
      </c>
      <c r="Z1112" t="inlineStr">
        <is>
          <t>San Lus</t>
        </is>
      </c>
    </row>
    <row r="1113">
      <c r="Y1113" t="inlineStr">
        <is>
          <t>Pasto</t>
        </is>
      </c>
      <c r="Z1113" t="inlineStr">
        <is>
          <t>San Pedro</t>
        </is>
      </c>
    </row>
    <row r="1114">
      <c r="Y1114" t="inlineStr">
        <is>
          <t>Pasto</t>
        </is>
      </c>
      <c r="Z1114" t="inlineStr">
        <is>
          <t>Santa Bárbara</t>
        </is>
      </c>
    </row>
    <row r="1115">
      <c r="Y1115" t="inlineStr">
        <is>
          <t>Pasto</t>
        </is>
      </c>
      <c r="Z1115" t="inlineStr">
        <is>
          <t>Santa Clara</t>
        </is>
      </c>
    </row>
    <row r="1116">
      <c r="Y1116" t="inlineStr">
        <is>
          <t>Pasto</t>
        </is>
      </c>
      <c r="Z1116" t="inlineStr">
        <is>
          <t>Santa Helena</t>
        </is>
      </c>
    </row>
    <row r="1117">
      <c r="Y1117" t="inlineStr">
        <is>
          <t>Pasto</t>
        </is>
      </c>
      <c r="Z1117" t="inlineStr">
        <is>
          <t>Santa Isabel</t>
        </is>
      </c>
    </row>
    <row r="1118">
      <c r="Y1118" t="inlineStr">
        <is>
          <t>Pasto</t>
        </is>
      </c>
      <c r="Z1118" t="inlineStr">
        <is>
          <t>Santa Lucía</t>
        </is>
      </c>
    </row>
    <row r="1119">
      <c r="Y1119" t="inlineStr">
        <is>
          <t>Pasto</t>
        </is>
      </c>
      <c r="Z1119" t="inlineStr">
        <is>
          <t>Santa María</t>
        </is>
      </c>
    </row>
    <row r="1120">
      <c r="Y1120" t="inlineStr">
        <is>
          <t>Pasto</t>
        </is>
      </c>
      <c r="Z1120" t="inlineStr">
        <is>
          <t>Santa Rosa</t>
        </is>
      </c>
    </row>
    <row r="1121">
      <c r="Y1121" t="inlineStr">
        <is>
          <t>Pasto</t>
        </is>
      </c>
      <c r="Z1121" t="inlineStr">
        <is>
          <t>Santa Teresita</t>
        </is>
      </c>
    </row>
    <row r="1122">
      <c r="Y1122" t="inlineStr">
        <is>
          <t>Pasto</t>
        </is>
      </c>
      <c r="Z1122" t="inlineStr">
        <is>
          <t>Santander</t>
        </is>
      </c>
    </row>
    <row r="1123">
      <c r="Y1123" t="inlineStr">
        <is>
          <t>Pasto</t>
        </is>
      </c>
      <c r="Z1123" t="inlineStr">
        <is>
          <t>Tescual</t>
        </is>
      </c>
    </row>
    <row r="1124">
      <c r="Y1124" t="inlineStr">
        <is>
          <t>Pasto</t>
        </is>
      </c>
      <c r="Z1124" t="inlineStr">
        <is>
          <t>Tosuabi</t>
        </is>
      </c>
    </row>
    <row r="1125">
      <c r="Y1125" t="inlineStr">
        <is>
          <t>Pasto</t>
        </is>
      </c>
      <c r="Z1125" t="inlineStr">
        <is>
          <t>Villamaría</t>
        </is>
      </c>
    </row>
    <row r="1126">
      <c r="Y1126" t="inlineStr">
        <is>
          <t>Pasto</t>
        </is>
      </c>
      <c r="Z1126" t="inlineStr">
        <is>
          <t>Vista Hermosa</t>
        </is>
      </c>
    </row>
    <row r="1127">
      <c r="Y1127" t="inlineStr">
        <is>
          <t>Pasto</t>
        </is>
      </c>
      <c r="Z1127" t="inlineStr">
        <is>
          <t>Vocacional</t>
        </is>
      </c>
    </row>
    <row r="1128">
      <c r="Y1128" t="inlineStr">
        <is>
          <t>Policarpa</t>
        </is>
      </c>
      <c r="Z1128" t="inlineStr">
        <is>
          <t>Albania</t>
        </is>
      </c>
    </row>
    <row r="1129">
      <c r="Y1129" t="inlineStr">
        <is>
          <t>Policarpa</t>
        </is>
      </c>
      <c r="Z1129" t="inlineStr">
        <is>
          <t>Algodones</t>
        </is>
      </c>
    </row>
    <row r="1130">
      <c r="Y1130" t="inlineStr">
        <is>
          <t>Policarpa</t>
        </is>
      </c>
      <c r="Z1130" t="inlineStr">
        <is>
          <t>Altamira</t>
        </is>
      </c>
    </row>
    <row r="1131">
      <c r="Y1131" t="inlineStr">
        <is>
          <t>Policarpa</t>
        </is>
      </c>
      <c r="Z1131" t="inlineStr">
        <is>
          <t>Balbanera</t>
        </is>
      </c>
    </row>
    <row r="1132">
      <c r="Y1132" t="inlineStr">
        <is>
          <t>Policarpa</t>
        </is>
      </c>
      <c r="Z1132" t="inlineStr">
        <is>
          <t>Bella Esperanza</t>
        </is>
      </c>
    </row>
    <row r="1133">
      <c r="Y1133" t="inlineStr">
        <is>
          <t>Policarpa</t>
        </is>
      </c>
      <c r="Z1133" t="inlineStr">
        <is>
          <t>Bella Vista - Sombrerillos</t>
        </is>
      </c>
    </row>
    <row r="1134">
      <c r="Y1134" t="inlineStr">
        <is>
          <t>Policarpa</t>
        </is>
      </c>
      <c r="Z1134" t="inlineStr">
        <is>
          <t>Betania</t>
        </is>
      </c>
    </row>
    <row r="1135">
      <c r="Y1135" t="inlineStr">
        <is>
          <t>Policarpa</t>
        </is>
      </c>
      <c r="Z1135" t="inlineStr">
        <is>
          <t>Bravo Acosta</t>
        </is>
      </c>
    </row>
    <row r="1136">
      <c r="Y1136" t="inlineStr">
        <is>
          <t>Policarpa</t>
        </is>
      </c>
      <c r="Z1136" t="inlineStr">
        <is>
          <t>Buena Esperanza</t>
        </is>
      </c>
    </row>
    <row r="1137">
      <c r="Y1137" t="inlineStr">
        <is>
          <t>Policarpa</t>
        </is>
      </c>
      <c r="Z1137" t="inlineStr">
        <is>
          <t>Buenavista - Sion</t>
        </is>
      </c>
    </row>
    <row r="1138">
      <c r="Y1138" t="inlineStr">
        <is>
          <t>Policarpa</t>
        </is>
      </c>
      <c r="Z1138" t="inlineStr">
        <is>
          <t>Campo Alegre</t>
        </is>
      </c>
    </row>
    <row r="1139">
      <c r="Y1139" t="inlineStr">
        <is>
          <t>Policarpa</t>
        </is>
      </c>
      <c r="Z1139" t="inlineStr">
        <is>
          <t>Canoas</t>
        </is>
      </c>
    </row>
    <row r="1140">
      <c r="Y1140" t="inlineStr">
        <is>
          <t>Policarpa</t>
        </is>
      </c>
      <c r="Z1140" t="inlineStr">
        <is>
          <t>El Anime</t>
        </is>
      </c>
    </row>
    <row r="1141">
      <c r="Y1141" t="inlineStr">
        <is>
          <t>Policarpa</t>
        </is>
      </c>
      <c r="Z1141" t="inlineStr">
        <is>
          <t>El Cairo</t>
        </is>
      </c>
    </row>
    <row r="1142">
      <c r="Y1142" t="inlineStr">
        <is>
          <t>Policarpa</t>
        </is>
      </c>
      <c r="Z1142" t="inlineStr">
        <is>
          <t>El Cerro</t>
        </is>
      </c>
    </row>
    <row r="1143">
      <c r="Y1143" t="inlineStr">
        <is>
          <t>Policarpa</t>
        </is>
      </c>
      <c r="Z1143" t="inlineStr">
        <is>
          <t>El Cocal</t>
        </is>
      </c>
    </row>
    <row r="1144">
      <c r="Y1144" t="inlineStr">
        <is>
          <t>Policarpa</t>
        </is>
      </c>
      <c r="Z1144" t="inlineStr">
        <is>
          <t>El Crucero</t>
        </is>
      </c>
    </row>
    <row r="1145">
      <c r="Y1145" t="inlineStr">
        <is>
          <t>Policarpa</t>
        </is>
      </c>
      <c r="Z1145" t="inlineStr">
        <is>
          <t>El Eden</t>
        </is>
      </c>
    </row>
    <row r="1146">
      <c r="Y1146" t="inlineStr">
        <is>
          <t>Policarpa</t>
        </is>
      </c>
      <c r="Z1146" t="inlineStr">
        <is>
          <t>El Ejido</t>
        </is>
      </c>
    </row>
    <row r="1147">
      <c r="Y1147" t="inlineStr">
        <is>
          <t>Policarpa</t>
        </is>
      </c>
      <c r="Z1147" t="inlineStr">
        <is>
          <t>El Encanto</t>
        </is>
      </c>
    </row>
    <row r="1148">
      <c r="Y1148" t="inlineStr">
        <is>
          <t>Policarpa</t>
        </is>
      </c>
      <c r="Z1148" t="inlineStr">
        <is>
          <t>El Guadual</t>
        </is>
      </c>
    </row>
    <row r="1149">
      <c r="Y1149" t="inlineStr">
        <is>
          <t>Policarpa</t>
        </is>
      </c>
      <c r="Z1149" t="inlineStr">
        <is>
          <t>El Pedregal</t>
        </is>
      </c>
    </row>
    <row r="1150">
      <c r="Y1150" t="inlineStr">
        <is>
          <t>Policarpa</t>
        </is>
      </c>
      <c r="Z1150" t="inlineStr">
        <is>
          <t>El Rosal</t>
        </is>
      </c>
    </row>
    <row r="1151">
      <c r="Y1151" t="inlineStr">
        <is>
          <t>Policarpa</t>
        </is>
      </c>
      <c r="Z1151" t="inlineStr">
        <is>
          <t>La Aldea - Campo Alegre</t>
        </is>
      </c>
    </row>
    <row r="1152">
      <c r="Y1152" t="inlineStr">
        <is>
          <t>Policarpa</t>
        </is>
      </c>
      <c r="Z1152" t="inlineStr">
        <is>
          <t>La Cabaña</t>
        </is>
      </c>
    </row>
    <row r="1153">
      <c r="Y1153" t="inlineStr">
        <is>
          <t>Policarpa</t>
        </is>
      </c>
      <c r="Z1153" t="inlineStr">
        <is>
          <t>La Dorada</t>
        </is>
      </c>
    </row>
    <row r="1154">
      <c r="Y1154" t="inlineStr">
        <is>
          <t>Policarpa</t>
        </is>
      </c>
      <c r="Z1154" t="inlineStr">
        <is>
          <t>La Florida</t>
        </is>
      </c>
    </row>
    <row r="1155">
      <c r="Y1155" t="inlineStr">
        <is>
          <t>Policarpa</t>
        </is>
      </c>
      <c r="Z1155" t="inlineStr">
        <is>
          <t>La Guasca</t>
        </is>
      </c>
    </row>
    <row r="1156">
      <c r="Y1156" t="inlineStr">
        <is>
          <t>Policarpa</t>
        </is>
      </c>
      <c r="Z1156" t="inlineStr">
        <is>
          <t>La Independencia</t>
        </is>
      </c>
    </row>
    <row r="1157">
      <c r="Y1157" t="inlineStr">
        <is>
          <t>Policarpa</t>
        </is>
      </c>
      <c r="Z1157" t="inlineStr">
        <is>
          <t>La Montañita</t>
        </is>
      </c>
    </row>
    <row r="1158">
      <c r="Y1158" t="inlineStr">
        <is>
          <t>Policarpa</t>
        </is>
      </c>
      <c r="Z1158" t="inlineStr">
        <is>
          <t>La Palma</t>
        </is>
      </c>
    </row>
    <row r="1159">
      <c r="Y1159" t="inlineStr">
        <is>
          <t>Policarpa</t>
        </is>
      </c>
      <c r="Z1159" t="inlineStr">
        <is>
          <t>La Toldada</t>
        </is>
      </c>
    </row>
    <row r="1160">
      <c r="Y1160" t="inlineStr">
        <is>
          <t>Policarpa</t>
        </is>
      </c>
      <c r="Z1160" t="inlineStr">
        <is>
          <t>La Victoria</t>
        </is>
      </c>
    </row>
    <row r="1161">
      <c r="Y1161" t="inlineStr">
        <is>
          <t>Policarpa</t>
        </is>
      </c>
      <c r="Z1161" t="inlineStr">
        <is>
          <t>Las Canoas</t>
        </is>
      </c>
    </row>
    <row r="1162">
      <c r="Y1162" t="inlineStr">
        <is>
          <t>Policarpa</t>
        </is>
      </c>
      <c r="Z1162" t="inlineStr">
        <is>
          <t>Las Palmeras</t>
        </is>
      </c>
    </row>
    <row r="1163">
      <c r="Y1163" t="inlineStr">
        <is>
          <t>Policarpa</t>
        </is>
      </c>
      <c r="Z1163" t="inlineStr">
        <is>
          <t>Madrigal</t>
        </is>
      </c>
    </row>
    <row r="1164">
      <c r="Y1164" t="inlineStr">
        <is>
          <t>Policarpa</t>
        </is>
      </c>
      <c r="Z1164" t="inlineStr">
        <is>
          <t>Nacederos</t>
        </is>
      </c>
    </row>
    <row r="1165">
      <c r="Y1165" t="inlineStr">
        <is>
          <t>Policarpa</t>
        </is>
      </c>
      <c r="Z1165" t="inlineStr">
        <is>
          <t>Negrita Cuchilla</t>
        </is>
      </c>
    </row>
    <row r="1166">
      <c r="Y1166" t="inlineStr">
        <is>
          <t>Policarpa</t>
        </is>
      </c>
      <c r="Z1166" t="inlineStr">
        <is>
          <t>Negrita Cuchilla (sur)</t>
        </is>
      </c>
    </row>
    <row r="1167">
      <c r="Y1167" t="inlineStr">
        <is>
          <t>Policarpa</t>
        </is>
      </c>
      <c r="Z1167" t="inlineStr">
        <is>
          <t>Nueva Esperanza</t>
        </is>
      </c>
    </row>
    <row r="1168">
      <c r="Y1168" t="inlineStr">
        <is>
          <t>Policarpa</t>
        </is>
      </c>
      <c r="Z1168" t="inlineStr">
        <is>
          <t>Panecillo</t>
        </is>
      </c>
    </row>
    <row r="1169">
      <c r="Y1169" t="inlineStr">
        <is>
          <t>Policarpa</t>
        </is>
      </c>
      <c r="Z1169" t="inlineStr">
        <is>
          <t>Remolino Bajo Patía</t>
        </is>
      </c>
    </row>
    <row r="1170">
      <c r="Y1170" t="inlineStr">
        <is>
          <t>Policarpa</t>
        </is>
      </c>
      <c r="Z1170" t="inlineStr">
        <is>
          <t>Restrepo</t>
        </is>
      </c>
    </row>
    <row r="1171">
      <c r="Y1171" t="inlineStr">
        <is>
          <t>Policarpa</t>
        </is>
      </c>
      <c r="Z1171" t="inlineStr">
        <is>
          <t>San Antonio</t>
        </is>
      </c>
    </row>
    <row r="1172">
      <c r="Y1172" t="inlineStr">
        <is>
          <t>Policarpa</t>
        </is>
      </c>
      <c r="Z1172" t="inlineStr">
        <is>
          <t>San Pablo</t>
        </is>
      </c>
    </row>
    <row r="1173">
      <c r="Y1173" t="inlineStr">
        <is>
          <t>Policarpa</t>
        </is>
      </c>
      <c r="Z1173" t="inlineStr">
        <is>
          <t>San Roque</t>
        </is>
      </c>
    </row>
    <row r="1174">
      <c r="Y1174" t="inlineStr">
        <is>
          <t>Policarpa</t>
        </is>
      </c>
      <c r="Z1174" t="inlineStr">
        <is>
          <t>San Sebastian</t>
        </is>
      </c>
    </row>
    <row r="1175">
      <c r="Y1175" t="inlineStr">
        <is>
          <t>Policarpa</t>
        </is>
      </c>
      <c r="Z1175" t="inlineStr">
        <is>
          <t>Sanchez</t>
        </is>
      </c>
    </row>
    <row r="1176">
      <c r="Y1176" t="inlineStr">
        <is>
          <t>Policarpa</t>
        </is>
      </c>
      <c r="Z1176" t="inlineStr">
        <is>
          <t>Santa Cruz</t>
        </is>
      </c>
    </row>
    <row r="1177">
      <c r="Y1177" t="inlineStr">
        <is>
          <t>Policarpa</t>
        </is>
      </c>
      <c r="Z1177" t="inlineStr">
        <is>
          <t>Santa Lucía</t>
        </is>
      </c>
    </row>
    <row r="1178">
      <c r="Y1178" t="inlineStr">
        <is>
          <t>Policarpa</t>
        </is>
      </c>
      <c r="Z1178" t="inlineStr">
        <is>
          <t>Santa Rosa</t>
        </is>
      </c>
    </row>
    <row r="1179">
      <c r="Y1179" t="inlineStr">
        <is>
          <t>Policarpa</t>
        </is>
      </c>
      <c r="Z1179" t="inlineStr">
        <is>
          <t>Santafe</t>
        </is>
      </c>
    </row>
    <row r="1180">
      <c r="Y1180" t="inlineStr">
        <is>
          <t>Policarpa</t>
        </is>
      </c>
      <c r="Z1180" t="inlineStr">
        <is>
          <t>Santander</t>
        </is>
      </c>
    </row>
    <row r="1181">
      <c r="Y1181" t="inlineStr">
        <is>
          <t>Policarpa</t>
        </is>
      </c>
      <c r="Z1181" t="inlineStr">
        <is>
          <t>Sombrerillo</t>
        </is>
      </c>
    </row>
    <row r="1182">
      <c r="Y1182" t="inlineStr">
        <is>
          <t>Policarpa</t>
        </is>
      </c>
      <c r="Z1182" t="inlineStr">
        <is>
          <t>Villa Moreno</t>
        </is>
      </c>
    </row>
    <row r="1183">
      <c r="Y1183" t="inlineStr">
        <is>
          <t>Policarpa</t>
        </is>
      </c>
      <c r="Z1183" t="inlineStr">
        <is>
          <t>Z U Policarpa</t>
        </is>
      </c>
    </row>
    <row r="1184">
      <c r="Y1184" t="inlineStr">
        <is>
          <t>Potosí</t>
        </is>
      </c>
      <c r="Z1184" t="inlineStr">
        <is>
          <t>Alto del Rosario</t>
        </is>
      </c>
    </row>
    <row r="1185">
      <c r="Y1185" t="inlineStr">
        <is>
          <t>Potosí</t>
        </is>
      </c>
      <c r="Z1185" t="inlineStr">
        <is>
          <t>Isaza</t>
        </is>
      </c>
    </row>
    <row r="1186">
      <c r="Y1186" t="inlineStr">
        <is>
          <t>Potosí</t>
        </is>
      </c>
      <c r="Z1186" t="inlineStr">
        <is>
          <t>Jusn Frio</t>
        </is>
      </c>
    </row>
    <row r="1187">
      <c r="Y1187" t="inlineStr">
        <is>
          <t>Potosí</t>
        </is>
      </c>
      <c r="Z1187" t="inlineStr">
        <is>
          <t>La Pradera</t>
        </is>
      </c>
    </row>
    <row r="1188">
      <c r="Y1188" t="inlineStr">
        <is>
          <t>Potosí</t>
        </is>
      </c>
      <c r="Z1188" t="inlineStr">
        <is>
          <t>Sin Informacion</t>
        </is>
      </c>
    </row>
    <row r="1189">
      <c r="Y1189" t="inlineStr">
        <is>
          <t>Potosí</t>
        </is>
      </c>
      <c r="Z1189" t="inlineStr">
        <is>
          <t>Ventaquemada</t>
        </is>
      </c>
    </row>
    <row r="1190">
      <c r="Y1190" t="inlineStr">
        <is>
          <t>Potosí</t>
        </is>
      </c>
      <c r="Z1190" t="inlineStr">
        <is>
          <t>Victoria</t>
        </is>
      </c>
    </row>
    <row r="1191">
      <c r="Y1191" t="inlineStr">
        <is>
          <t>Potosí</t>
        </is>
      </c>
      <c r="Z1191" t="inlineStr">
        <is>
          <t>Villa Garzon</t>
        </is>
      </c>
    </row>
    <row r="1192">
      <c r="Y1192" t="inlineStr">
        <is>
          <t>Providencia</t>
        </is>
      </c>
      <c r="Z1192" t="inlineStr">
        <is>
          <t>El Arrayan de Jascual</t>
        </is>
      </c>
    </row>
    <row r="1193">
      <c r="Y1193" t="inlineStr">
        <is>
          <t>Providencia</t>
        </is>
      </c>
      <c r="Z1193" t="inlineStr">
        <is>
          <t>Polachayan</t>
        </is>
      </c>
    </row>
    <row r="1194">
      <c r="Y1194" t="inlineStr">
        <is>
          <t>Providencia</t>
        </is>
      </c>
      <c r="Z1194" t="inlineStr">
        <is>
          <t>Providencia</t>
        </is>
      </c>
    </row>
    <row r="1195">
      <c r="Y1195" t="inlineStr">
        <is>
          <t>Puerres</t>
        </is>
      </c>
      <c r="Z1195" t="inlineStr">
        <is>
          <t>Aposentos</t>
        </is>
      </c>
    </row>
    <row r="1196">
      <c r="Y1196" t="inlineStr">
        <is>
          <t>Puerres</t>
        </is>
      </c>
      <c r="Z1196" t="inlineStr">
        <is>
          <t>Chimar</t>
        </is>
      </c>
    </row>
    <row r="1197">
      <c r="Y1197" t="inlineStr">
        <is>
          <t>Puerres</t>
        </is>
      </c>
      <c r="Z1197" t="inlineStr">
        <is>
          <t>El Pailon</t>
        </is>
      </c>
    </row>
    <row r="1198">
      <c r="Y1198" t="inlineStr">
        <is>
          <t>Puerres</t>
        </is>
      </c>
      <c r="Z1198" t="inlineStr">
        <is>
          <t>El Rosal</t>
        </is>
      </c>
    </row>
    <row r="1199">
      <c r="Y1199" t="inlineStr">
        <is>
          <t>Puerres</t>
        </is>
      </c>
      <c r="Z1199" t="inlineStr">
        <is>
          <t>Kilometro 18</t>
        </is>
      </c>
    </row>
    <row r="1200">
      <c r="Y1200" t="inlineStr">
        <is>
          <t>Puerres</t>
        </is>
      </c>
      <c r="Z1200" t="inlineStr">
        <is>
          <t>La Chorrera</t>
        </is>
      </c>
    </row>
    <row r="1201">
      <c r="Y1201" t="inlineStr">
        <is>
          <t>Puerres</t>
        </is>
      </c>
      <c r="Z1201" t="inlineStr">
        <is>
          <t>La Hacienda</t>
        </is>
      </c>
    </row>
    <row r="1202">
      <c r="Y1202" t="inlineStr">
        <is>
          <t>Puerres</t>
        </is>
      </c>
      <c r="Z1202" t="inlineStr">
        <is>
          <t>Llorente</t>
        </is>
      </c>
    </row>
    <row r="1203">
      <c r="Y1203" t="inlineStr">
        <is>
          <t>Puerres</t>
        </is>
      </c>
      <c r="Z1203" t="inlineStr">
        <is>
          <t>Monpamba</t>
        </is>
      </c>
    </row>
    <row r="1204">
      <c r="Y1204" t="inlineStr">
        <is>
          <t>Puerres</t>
        </is>
      </c>
      <c r="Z1204" t="inlineStr">
        <is>
          <t>Nuevo Mundo</t>
        </is>
      </c>
    </row>
    <row r="1205">
      <c r="Y1205" t="inlineStr">
        <is>
          <t>Puerres</t>
        </is>
      </c>
      <c r="Z1205" t="inlineStr">
        <is>
          <t>Ospina Pérez</t>
        </is>
      </c>
    </row>
    <row r="1206">
      <c r="Y1206" t="inlineStr">
        <is>
          <t>Puerres</t>
        </is>
      </c>
      <c r="Z1206" t="inlineStr">
        <is>
          <t>Sin Informacion</t>
        </is>
      </c>
    </row>
    <row r="1207">
      <c r="Y1207" t="inlineStr">
        <is>
          <t>Pupiales</t>
        </is>
      </c>
      <c r="Z1207" t="inlineStr">
        <is>
          <t>Arena Blanca</t>
        </is>
      </c>
    </row>
    <row r="1208">
      <c r="Y1208" t="inlineStr">
        <is>
          <t>Pupiales</t>
        </is>
      </c>
      <c r="Z1208" t="inlineStr">
        <is>
          <t>Calputan</t>
        </is>
      </c>
    </row>
    <row r="1209">
      <c r="Y1209" t="inlineStr">
        <is>
          <t>Pupiales</t>
        </is>
      </c>
      <c r="Z1209" t="inlineStr">
        <is>
          <t>Casafría</t>
        </is>
      </c>
    </row>
    <row r="1210">
      <c r="Y1210" t="inlineStr">
        <is>
          <t>Pupiales</t>
        </is>
      </c>
      <c r="Z1210" t="inlineStr">
        <is>
          <t>Chires Centro</t>
        </is>
      </c>
    </row>
    <row r="1211">
      <c r="Y1211" t="inlineStr">
        <is>
          <t>Pupiales</t>
        </is>
      </c>
      <c r="Z1211" t="inlineStr">
        <is>
          <t>Chires Mirador</t>
        </is>
      </c>
    </row>
    <row r="1212">
      <c r="Y1212" t="inlineStr">
        <is>
          <t>Pupiales</t>
        </is>
      </c>
      <c r="Z1212" t="inlineStr">
        <is>
          <t>Chires Sur</t>
        </is>
      </c>
    </row>
    <row r="1213">
      <c r="Y1213" t="inlineStr">
        <is>
          <t>Pupiales</t>
        </is>
      </c>
      <c r="Z1213" t="inlineStr">
        <is>
          <t>Cuas</t>
        </is>
      </c>
    </row>
    <row r="1214">
      <c r="Y1214" t="inlineStr">
        <is>
          <t>Pupiales</t>
        </is>
      </c>
      <c r="Z1214" t="inlineStr">
        <is>
          <t>Egido San Antonio</t>
        </is>
      </c>
    </row>
    <row r="1215">
      <c r="Y1215" t="inlineStr">
        <is>
          <t>Pupiales</t>
        </is>
      </c>
      <c r="Z1215" t="inlineStr">
        <is>
          <t>El Común</t>
        </is>
      </c>
    </row>
    <row r="1216">
      <c r="Y1216" t="inlineStr">
        <is>
          <t>Pupiales</t>
        </is>
      </c>
      <c r="Z1216" t="inlineStr">
        <is>
          <t>El Espino</t>
        </is>
      </c>
    </row>
    <row r="1217">
      <c r="Y1217" t="inlineStr">
        <is>
          <t>Pupiales</t>
        </is>
      </c>
      <c r="Z1217" t="inlineStr">
        <is>
          <t>El Gualte</t>
        </is>
      </c>
    </row>
    <row r="1218">
      <c r="Y1218" t="inlineStr">
        <is>
          <t>Pupiales</t>
        </is>
      </c>
      <c r="Z1218" t="inlineStr">
        <is>
          <t>Espino Sur</t>
        </is>
      </c>
    </row>
    <row r="1219">
      <c r="Y1219" t="inlineStr">
        <is>
          <t>Pupiales</t>
        </is>
      </c>
      <c r="Z1219" t="inlineStr">
        <is>
          <t>Fuelamuesquer</t>
        </is>
      </c>
    </row>
    <row r="1220">
      <c r="Y1220" t="inlineStr">
        <is>
          <t>Pupiales</t>
        </is>
      </c>
      <c r="Z1220" t="inlineStr">
        <is>
          <t>Guacha</t>
        </is>
      </c>
    </row>
    <row r="1221">
      <c r="Y1221" t="inlineStr">
        <is>
          <t>Pupiales</t>
        </is>
      </c>
      <c r="Z1221" t="inlineStr">
        <is>
          <t>Imbula Chico</t>
        </is>
      </c>
    </row>
    <row r="1222">
      <c r="Y1222" t="inlineStr">
        <is>
          <t>Pupiales</t>
        </is>
      </c>
      <c r="Z1222" t="inlineStr">
        <is>
          <t>Imbula Grande</t>
        </is>
      </c>
    </row>
    <row r="1223">
      <c r="Y1223" t="inlineStr">
        <is>
          <t>Pupiales</t>
        </is>
      </c>
      <c r="Z1223" t="inlineStr">
        <is>
          <t>Inchuchala</t>
        </is>
      </c>
    </row>
    <row r="1224">
      <c r="Y1224" t="inlineStr">
        <is>
          <t>Pupiales</t>
        </is>
      </c>
      <c r="Z1224" t="inlineStr">
        <is>
          <t>La Concordia</t>
        </is>
      </c>
    </row>
    <row r="1225">
      <c r="Y1225" t="inlineStr">
        <is>
          <t>Pupiales</t>
        </is>
      </c>
      <c r="Z1225" t="inlineStr">
        <is>
          <t>Miraflores</t>
        </is>
      </c>
    </row>
    <row r="1226">
      <c r="Y1226" t="inlineStr">
        <is>
          <t>Pupiales</t>
        </is>
      </c>
      <c r="Z1226" t="inlineStr">
        <is>
          <t>Piacun</t>
        </is>
      </c>
    </row>
    <row r="1227">
      <c r="Y1227" t="inlineStr">
        <is>
          <t>Pupiales</t>
        </is>
      </c>
      <c r="Z1227" t="inlineStr">
        <is>
          <t>Pusialquer</t>
        </is>
      </c>
    </row>
    <row r="1228">
      <c r="Y1228" t="inlineStr">
        <is>
          <t>Pupiales</t>
        </is>
      </c>
      <c r="Z1228" t="inlineStr">
        <is>
          <t>Quitiaquez</t>
        </is>
      </c>
    </row>
    <row r="1229">
      <c r="Y1229" t="inlineStr">
        <is>
          <t>Pupiales</t>
        </is>
      </c>
      <c r="Z1229" t="inlineStr">
        <is>
          <t>San Francisco</t>
        </is>
      </c>
    </row>
    <row r="1230">
      <c r="Y1230" t="inlineStr">
        <is>
          <t>Pupiales</t>
        </is>
      </c>
      <c r="Z1230" t="inlineStr">
        <is>
          <t>San Juan Chiquito</t>
        </is>
      </c>
    </row>
    <row r="1231">
      <c r="Y1231" t="inlineStr">
        <is>
          <t>Pupiales</t>
        </is>
      </c>
      <c r="Z1231" t="inlineStr">
        <is>
          <t>San Marcos</t>
        </is>
      </c>
    </row>
    <row r="1232">
      <c r="Y1232" t="inlineStr">
        <is>
          <t>Pupiales</t>
        </is>
      </c>
      <c r="Z1232" t="inlineStr">
        <is>
          <t>Santa Lucia</t>
        </is>
      </c>
    </row>
    <row r="1233">
      <c r="Y1233" t="inlineStr">
        <is>
          <t>Pupiales</t>
        </is>
      </c>
      <c r="Z1233" t="inlineStr">
        <is>
          <t>Santa Martha</t>
        </is>
      </c>
    </row>
    <row r="1234">
      <c r="Y1234" t="inlineStr">
        <is>
          <t>Pupiales</t>
        </is>
      </c>
      <c r="Z1234" t="inlineStr">
        <is>
          <t>Tepud</t>
        </is>
      </c>
    </row>
    <row r="1235">
      <c r="Y1235" t="inlineStr">
        <is>
          <t>Pupiales</t>
        </is>
      </c>
      <c r="Z1235" t="inlineStr">
        <is>
          <t>Tres Esquinas</t>
        </is>
      </c>
    </row>
    <row r="1236">
      <c r="Y1236" t="inlineStr">
        <is>
          <t>Ricaurte</t>
        </is>
      </c>
      <c r="Z1236" t="inlineStr">
        <is>
          <t>Cañaveral</t>
        </is>
      </c>
    </row>
    <row r="1237">
      <c r="Y1237" t="inlineStr">
        <is>
          <t>Ricaurte</t>
        </is>
      </c>
      <c r="Z1237" t="inlineStr">
        <is>
          <t>Cartagena</t>
        </is>
      </c>
    </row>
    <row r="1238">
      <c r="Y1238" t="inlineStr">
        <is>
          <t>Ricaurte</t>
        </is>
      </c>
      <c r="Z1238" t="inlineStr">
        <is>
          <t>La Balsa</t>
        </is>
      </c>
    </row>
    <row r="1239">
      <c r="Y1239" t="inlineStr">
        <is>
          <t>Ricaurte</t>
        </is>
      </c>
      <c r="Z1239" t="inlineStr">
        <is>
          <t>La Planada</t>
        </is>
      </c>
    </row>
    <row r="1240">
      <c r="Y1240" t="inlineStr">
        <is>
          <t>Ricaurte</t>
        </is>
      </c>
      <c r="Z1240" t="inlineStr">
        <is>
          <t>Nazareth</t>
        </is>
      </c>
    </row>
    <row r="1241">
      <c r="Y1241" t="inlineStr">
        <is>
          <t>Ricaurte</t>
        </is>
      </c>
      <c r="Z1241" t="inlineStr">
        <is>
          <t>Paraiso</t>
        </is>
      </c>
    </row>
    <row r="1242">
      <c r="Y1242" t="inlineStr">
        <is>
          <t>Ricaurte</t>
        </is>
      </c>
      <c r="Z1242" t="inlineStr">
        <is>
          <t>Reserva Natural la Planada</t>
        </is>
      </c>
    </row>
    <row r="1243">
      <c r="Y1243" t="inlineStr">
        <is>
          <t>Ricaurte</t>
        </is>
      </c>
      <c r="Z1243" t="inlineStr">
        <is>
          <t>Resrva Natural el Bosque</t>
        </is>
      </c>
    </row>
    <row r="1244">
      <c r="Y1244" t="inlineStr">
        <is>
          <t>Ricaurte</t>
        </is>
      </c>
      <c r="Z1244" t="inlineStr">
        <is>
          <t>Sin Informacion</t>
        </is>
      </c>
    </row>
    <row r="1245">
      <c r="Y1245" t="inlineStr">
        <is>
          <t>Ricaurte</t>
        </is>
      </c>
      <c r="Z1245" t="inlineStr">
        <is>
          <t>Turbaco</t>
        </is>
      </c>
    </row>
    <row r="1246">
      <c r="Y1246" t="inlineStr">
        <is>
          <t>Roberto Payán</t>
        </is>
      </c>
      <c r="Z1246" t="inlineStr">
        <is>
          <t>Chillaran</t>
        </is>
      </c>
    </row>
    <row r="1247">
      <c r="Y1247" t="inlineStr">
        <is>
          <t>Roberto Payán</t>
        </is>
      </c>
      <c r="Z1247" t="inlineStr">
        <is>
          <t>Corocito Macagua</t>
        </is>
      </c>
    </row>
    <row r="1248">
      <c r="Y1248" t="inlineStr">
        <is>
          <t>Roberto Payán</t>
        </is>
      </c>
      <c r="Z1248" t="inlineStr">
        <is>
          <t>De la Ensenada</t>
        </is>
      </c>
    </row>
    <row r="1249">
      <c r="Y1249" t="inlineStr">
        <is>
          <t>Roberto Payán</t>
        </is>
      </c>
      <c r="Z1249" t="inlineStr">
        <is>
          <t>El Maque</t>
        </is>
      </c>
    </row>
    <row r="1250">
      <c r="Y1250" t="inlineStr">
        <is>
          <t>Roberto Payán</t>
        </is>
      </c>
      <c r="Z1250" t="inlineStr">
        <is>
          <t>El Pato</t>
        </is>
      </c>
    </row>
    <row r="1251">
      <c r="Y1251" t="inlineStr">
        <is>
          <t>Roberto Payán</t>
        </is>
      </c>
      <c r="Z1251" t="inlineStr">
        <is>
          <t>Guacuco</t>
        </is>
      </c>
    </row>
    <row r="1252">
      <c r="Y1252" t="inlineStr">
        <is>
          <t>Roberto Payán</t>
        </is>
      </c>
      <c r="Z1252" t="inlineStr">
        <is>
          <t>Guañambi</t>
        </is>
      </c>
    </row>
    <row r="1253">
      <c r="Y1253" t="inlineStr">
        <is>
          <t>Roberto Payán</t>
        </is>
      </c>
      <c r="Z1253" t="inlineStr">
        <is>
          <t>Hato Grande</t>
        </is>
      </c>
    </row>
    <row r="1254">
      <c r="Y1254" t="inlineStr">
        <is>
          <t>Roberto Payán</t>
        </is>
      </c>
      <c r="Z1254" t="inlineStr">
        <is>
          <t>La Aventura</t>
        </is>
      </c>
    </row>
    <row r="1255">
      <c r="Y1255" t="inlineStr">
        <is>
          <t>Roberto Payán</t>
        </is>
      </c>
      <c r="Z1255" t="inlineStr">
        <is>
          <t>Pacora</t>
        </is>
      </c>
    </row>
    <row r="1256">
      <c r="Y1256" t="inlineStr">
        <is>
          <t>Roberto Payán</t>
        </is>
      </c>
      <c r="Z1256" t="inlineStr">
        <is>
          <t>Palsapi</t>
        </is>
      </c>
    </row>
    <row r="1257">
      <c r="Y1257" t="inlineStr">
        <is>
          <t>Roberto Payán</t>
        </is>
      </c>
      <c r="Z1257" t="inlineStr">
        <is>
          <t>Pumalde</t>
        </is>
      </c>
    </row>
    <row r="1258">
      <c r="Y1258" t="inlineStr">
        <is>
          <t>Roberto Payán</t>
        </is>
      </c>
      <c r="Z1258" t="inlineStr">
        <is>
          <t>Pumbi</t>
        </is>
      </c>
    </row>
    <row r="1259">
      <c r="Y1259" t="inlineStr">
        <is>
          <t>Roberto Payán</t>
        </is>
      </c>
      <c r="Z1259" t="inlineStr">
        <is>
          <t>Santa Ines</t>
        </is>
      </c>
    </row>
    <row r="1260">
      <c r="Y1260" t="inlineStr">
        <is>
          <t>Roberto Payán</t>
        </is>
      </c>
      <c r="Z1260" t="inlineStr">
        <is>
          <t>Santa Marta</t>
        </is>
      </c>
    </row>
    <row r="1261">
      <c r="Y1261" t="inlineStr">
        <is>
          <t>Roberto Payán</t>
        </is>
      </c>
      <c r="Z1261" t="inlineStr">
        <is>
          <t>Santa Rosita</t>
        </is>
      </c>
    </row>
    <row r="1262">
      <c r="Y1262" t="inlineStr">
        <is>
          <t>Roberto Payán</t>
        </is>
      </c>
      <c r="Z1262" t="inlineStr">
        <is>
          <t>Sector Sementerio</t>
        </is>
      </c>
    </row>
    <row r="1263">
      <c r="Y1263" t="inlineStr">
        <is>
          <t>Roberto Payán</t>
        </is>
      </c>
      <c r="Z1263" t="inlineStr">
        <is>
          <t>Sopetran</t>
        </is>
      </c>
    </row>
    <row r="1264">
      <c r="Y1264" t="inlineStr">
        <is>
          <t>Roberto Payán</t>
        </is>
      </c>
      <c r="Z1264" t="inlineStr">
        <is>
          <t>Timbiqui</t>
        </is>
      </c>
    </row>
    <row r="1265">
      <c r="Y1265" t="inlineStr">
        <is>
          <t>Roberto Payán</t>
        </is>
      </c>
      <c r="Z1265" t="inlineStr">
        <is>
          <t>Tinjaca</t>
        </is>
      </c>
    </row>
    <row r="1266">
      <c r="Y1266" t="inlineStr">
        <is>
          <t>Roberto Payán</t>
        </is>
      </c>
      <c r="Z1266" t="inlineStr">
        <is>
          <t>Vado Real</t>
        </is>
      </c>
    </row>
    <row r="1267">
      <c r="Y1267" t="inlineStr">
        <is>
          <t>Roberto Payán</t>
        </is>
      </c>
      <c r="Z1267" t="inlineStr">
        <is>
          <t>Veredas Yalte</t>
        </is>
      </c>
    </row>
    <row r="1268">
      <c r="Y1268" t="inlineStr">
        <is>
          <t>Roberto Payán</t>
        </is>
      </c>
      <c r="Z1268" t="inlineStr">
        <is>
          <t>Vuelta Larga</t>
        </is>
      </c>
    </row>
    <row r="1269">
      <c r="Y1269" t="inlineStr">
        <is>
          <t>Roberto Payán</t>
        </is>
      </c>
      <c r="Z1269" t="inlineStr">
        <is>
          <t>Yacun</t>
        </is>
      </c>
    </row>
    <row r="1270">
      <c r="Y1270" t="inlineStr">
        <is>
          <t>Roberto Payán</t>
        </is>
      </c>
      <c r="Z1270" t="inlineStr">
        <is>
          <t>Yayaral</t>
        </is>
      </c>
    </row>
    <row r="1271">
      <c r="Y1271" t="inlineStr">
        <is>
          <t>Samaniego</t>
        </is>
      </c>
      <c r="Z1271" t="inlineStr">
        <is>
          <t>Andalucia</t>
        </is>
      </c>
    </row>
    <row r="1272">
      <c r="Y1272" t="inlineStr">
        <is>
          <t>Samaniego</t>
        </is>
      </c>
      <c r="Z1272" t="inlineStr">
        <is>
          <t>Bajo Canada</t>
        </is>
      </c>
    </row>
    <row r="1273">
      <c r="Y1273" t="inlineStr">
        <is>
          <t>Samaniego</t>
        </is>
      </c>
      <c r="Z1273" t="inlineStr">
        <is>
          <t>Betania</t>
        </is>
      </c>
    </row>
    <row r="1274">
      <c r="Y1274" t="inlineStr">
        <is>
          <t>Samaniego</t>
        </is>
      </c>
      <c r="Z1274" t="inlineStr">
        <is>
          <t>Bolivar</t>
        </is>
      </c>
    </row>
    <row r="1275">
      <c r="Y1275" t="inlineStr">
        <is>
          <t>Samaniego</t>
        </is>
      </c>
      <c r="Z1275" t="inlineStr">
        <is>
          <t>Carrizal</t>
        </is>
      </c>
    </row>
    <row r="1276">
      <c r="Y1276" t="inlineStr">
        <is>
          <t>Samaniego</t>
        </is>
      </c>
      <c r="Z1276" t="inlineStr">
        <is>
          <t>Cartagena</t>
        </is>
      </c>
    </row>
    <row r="1277">
      <c r="Y1277" t="inlineStr">
        <is>
          <t>Samaniego</t>
        </is>
      </c>
      <c r="Z1277" t="inlineStr">
        <is>
          <t>Chinchal</t>
        </is>
      </c>
    </row>
    <row r="1278">
      <c r="Y1278" t="inlineStr">
        <is>
          <t>Samaniego</t>
        </is>
      </c>
      <c r="Z1278" t="inlineStr">
        <is>
          <t>Chuguldi</t>
        </is>
      </c>
    </row>
    <row r="1279">
      <c r="Y1279" t="inlineStr">
        <is>
          <t>Samaniego</t>
        </is>
      </c>
      <c r="Z1279" t="inlineStr">
        <is>
          <t>El Decio</t>
        </is>
      </c>
    </row>
    <row r="1280">
      <c r="Y1280" t="inlineStr">
        <is>
          <t>Samaniego</t>
        </is>
      </c>
      <c r="Z1280" t="inlineStr">
        <is>
          <t>El Llano</t>
        </is>
      </c>
    </row>
    <row r="1281">
      <c r="Y1281" t="inlineStr">
        <is>
          <t>Samaniego</t>
        </is>
      </c>
      <c r="Z1281" t="inlineStr">
        <is>
          <t>El Motilon</t>
        </is>
      </c>
    </row>
    <row r="1282">
      <c r="Y1282" t="inlineStr">
        <is>
          <t>Samaniego</t>
        </is>
      </c>
      <c r="Z1282" t="inlineStr">
        <is>
          <t>El Salado</t>
        </is>
      </c>
    </row>
    <row r="1283">
      <c r="Y1283" t="inlineStr">
        <is>
          <t>Samaniego</t>
        </is>
      </c>
      <c r="Z1283" t="inlineStr">
        <is>
          <t>El Tigre</t>
        </is>
      </c>
    </row>
    <row r="1284">
      <c r="Y1284" t="inlineStr">
        <is>
          <t>Samaniego</t>
        </is>
      </c>
      <c r="Z1284" t="inlineStr">
        <is>
          <t>Estacion Roso</t>
        </is>
      </c>
    </row>
    <row r="1285">
      <c r="Y1285" t="inlineStr">
        <is>
          <t>Samaniego</t>
        </is>
      </c>
      <c r="Z1285" t="inlineStr">
        <is>
          <t>La Aguada</t>
        </is>
      </c>
    </row>
    <row r="1286">
      <c r="Y1286" t="inlineStr">
        <is>
          <t>Samaniego</t>
        </is>
      </c>
      <c r="Z1286" t="inlineStr">
        <is>
          <t>La Capilla</t>
        </is>
      </c>
    </row>
    <row r="1287">
      <c r="Y1287" t="inlineStr">
        <is>
          <t>Samaniego</t>
        </is>
      </c>
      <c r="Z1287" t="inlineStr">
        <is>
          <t>La Planada</t>
        </is>
      </c>
    </row>
    <row r="1288">
      <c r="Y1288" t="inlineStr">
        <is>
          <t>Samaniego</t>
        </is>
      </c>
      <c r="Z1288" t="inlineStr">
        <is>
          <t>Montufar</t>
        </is>
      </c>
    </row>
    <row r="1289">
      <c r="Y1289" t="inlineStr">
        <is>
          <t>Samaniego</t>
        </is>
      </c>
      <c r="Z1289" t="inlineStr">
        <is>
          <t>Plan de San Martin</t>
        </is>
      </c>
    </row>
    <row r="1290">
      <c r="Y1290" t="inlineStr">
        <is>
          <t>Samaniego</t>
        </is>
      </c>
      <c r="Z1290" t="inlineStr">
        <is>
          <t>Puerchag</t>
        </is>
      </c>
    </row>
    <row r="1291">
      <c r="Y1291" t="inlineStr">
        <is>
          <t>Samaniego</t>
        </is>
      </c>
      <c r="Z1291" t="inlineStr">
        <is>
          <t>San Diego</t>
        </is>
      </c>
    </row>
    <row r="1292">
      <c r="Y1292" t="inlineStr">
        <is>
          <t>Samaniego</t>
        </is>
      </c>
      <c r="Z1292" t="inlineStr">
        <is>
          <t>Tanama</t>
        </is>
      </c>
    </row>
    <row r="1293">
      <c r="Y1293" t="inlineStr">
        <is>
          <t>Samaniego</t>
        </is>
      </c>
      <c r="Z1293" t="inlineStr">
        <is>
          <t>Villaflor</t>
        </is>
      </c>
    </row>
    <row r="1294">
      <c r="Y1294" t="inlineStr">
        <is>
          <t>Samaniego</t>
        </is>
      </c>
      <c r="Z1294" t="inlineStr">
        <is>
          <t>Yunguilla</t>
        </is>
      </c>
    </row>
    <row r="1295">
      <c r="Y1295" t="inlineStr">
        <is>
          <t>San Andrés de Tumaco</t>
        </is>
      </c>
      <c r="Z1295" t="inlineStr">
        <is>
          <t>Alto Mira y Frontera</t>
        </is>
      </c>
    </row>
    <row r="1296">
      <c r="Y1296" t="inlineStr">
        <is>
          <t>San Andrés de Tumaco</t>
        </is>
      </c>
      <c r="Z1296" t="inlineStr">
        <is>
          <t>Bajo Mira y Frontera</t>
        </is>
      </c>
    </row>
    <row r="1297">
      <c r="Y1297" t="inlineStr">
        <is>
          <t>San Andrés de Tumaco</t>
        </is>
      </c>
      <c r="Z1297" t="inlineStr">
        <is>
          <t>Chagui</t>
        </is>
      </c>
    </row>
    <row r="1298">
      <c r="Y1298" t="inlineStr">
        <is>
          <t>San Andrés de Tumaco</t>
        </is>
      </c>
      <c r="Z1298" t="inlineStr">
        <is>
          <t>Corredor Espriella</t>
        </is>
      </c>
    </row>
    <row r="1299">
      <c r="Y1299" t="inlineStr">
        <is>
          <t>San Andrés de Tumaco</t>
        </is>
      </c>
      <c r="Z1299" t="inlineStr">
        <is>
          <t>Corredor Llorente</t>
        </is>
      </c>
    </row>
    <row r="1300">
      <c r="Y1300" t="inlineStr">
        <is>
          <t>San Andrés de Tumaco</t>
        </is>
      </c>
      <c r="Z1300" t="inlineStr">
        <is>
          <t>De la Ensenada</t>
        </is>
      </c>
    </row>
    <row r="1301">
      <c r="Y1301" t="inlineStr">
        <is>
          <t>San Andrés de Tumaco</t>
        </is>
      </c>
      <c r="Z1301" t="inlineStr">
        <is>
          <t>Del Pueblo Awa</t>
        </is>
      </c>
    </row>
    <row r="1302">
      <c r="Y1302" t="inlineStr">
        <is>
          <t>San Andrés de Tumaco</t>
        </is>
      </c>
      <c r="Z1302" t="inlineStr">
        <is>
          <t>Emberaeperara</t>
        </is>
      </c>
    </row>
    <row r="1303">
      <c r="Y1303" t="inlineStr">
        <is>
          <t>San Andrés de Tumaco</t>
        </is>
      </c>
      <c r="Z1303" t="inlineStr">
        <is>
          <t>Estero Tablones</t>
        </is>
      </c>
    </row>
    <row r="1304">
      <c r="Y1304" t="inlineStr">
        <is>
          <t>San Andrés de Tumaco</t>
        </is>
      </c>
      <c r="Z1304" t="inlineStr">
        <is>
          <t>Mejicano</t>
        </is>
      </c>
    </row>
    <row r="1305">
      <c r="Y1305" t="inlineStr">
        <is>
          <t>San Andrés de Tumaco</t>
        </is>
      </c>
      <c r="Z1305" t="inlineStr">
        <is>
          <t>Rescate las Varas</t>
        </is>
      </c>
    </row>
    <row r="1306">
      <c r="Y1306" t="inlineStr">
        <is>
          <t>San Andrés de Tumaco</t>
        </is>
      </c>
      <c r="Z1306" t="inlineStr">
        <is>
          <t>Rosario</t>
        </is>
      </c>
    </row>
    <row r="1307">
      <c r="Y1307" t="inlineStr">
        <is>
          <t>San Andrés de Tumaco</t>
        </is>
      </c>
      <c r="Z1307" t="inlineStr">
        <is>
          <t>San Juan</t>
        </is>
      </c>
    </row>
    <row r="1308">
      <c r="Y1308" t="inlineStr">
        <is>
          <t>San Bernardo</t>
        </is>
      </c>
      <c r="Z1308" t="inlineStr">
        <is>
          <t>Aguacillacs</t>
        </is>
      </c>
    </row>
    <row r="1309">
      <c r="Y1309" t="inlineStr">
        <is>
          <t>San Bernardo</t>
        </is>
      </c>
      <c r="Z1309" t="inlineStr">
        <is>
          <t>Alto Junin</t>
        </is>
      </c>
    </row>
    <row r="1310">
      <c r="Y1310" t="inlineStr">
        <is>
          <t>San Bernardo</t>
        </is>
      </c>
      <c r="Z1310" t="inlineStr">
        <is>
          <t>Bello Horizonte</t>
        </is>
      </c>
    </row>
    <row r="1311">
      <c r="Y1311" t="inlineStr">
        <is>
          <t>San Bernardo</t>
        </is>
      </c>
      <c r="Z1311" t="inlineStr">
        <is>
          <t>Buena Vista</t>
        </is>
      </c>
    </row>
    <row r="1312">
      <c r="Y1312" t="inlineStr">
        <is>
          <t>San Bernardo</t>
        </is>
      </c>
      <c r="Z1312" t="inlineStr">
        <is>
          <t>Cerritos</t>
        </is>
      </c>
    </row>
    <row r="1313">
      <c r="Y1313" t="inlineStr">
        <is>
          <t>San Bernardo</t>
        </is>
      </c>
      <c r="Z1313" t="inlineStr">
        <is>
          <t>El Mirador</t>
        </is>
      </c>
    </row>
    <row r="1314">
      <c r="Y1314" t="inlineStr">
        <is>
          <t>San Bernardo</t>
        </is>
      </c>
      <c r="Z1314" t="inlineStr">
        <is>
          <t>Esmeralda</t>
        </is>
      </c>
    </row>
    <row r="1315">
      <c r="Y1315" t="inlineStr">
        <is>
          <t>San Bernardo</t>
        </is>
      </c>
      <c r="Z1315" t="inlineStr">
        <is>
          <t>La Florida</t>
        </is>
      </c>
    </row>
    <row r="1316">
      <c r="Y1316" t="inlineStr">
        <is>
          <t>San Bernardo</t>
        </is>
      </c>
      <c r="Z1316" t="inlineStr">
        <is>
          <t>La Mina</t>
        </is>
      </c>
    </row>
    <row r="1317">
      <c r="Y1317" t="inlineStr">
        <is>
          <t>San Bernardo</t>
        </is>
      </c>
      <c r="Z1317" t="inlineStr">
        <is>
          <t>La Primavera</t>
        </is>
      </c>
    </row>
    <row r="1318">
      <c r="Y1318" t="inlineStr">
        <is>
          <t>San Bernardo</t>
        </is>
      </c>
      <c r="Z1318" t="inlineStr">
        <is>
          <t>La Vega</t>
        </is>
      </c>
    </row>
    <row r="1319">
      <c r="Y1319" t="inlineStr">
        <is>
          <t>San Bernardo</t>
        </is>
      </c>
      <c r="Z1319" t="inlineStr">
        <is>
          <t>Los Alpes</t>
        </is>
      </c>
    </row>
    <row r="1320">
      <c r="Y1320" t="inlineStr">
        <is>
          <t>San Bernardo</t>
        </is>
      </c>
      <c r="Z1320" t="inlineStr">
        <is>
          <t>Los Arboles</t>
        </is>
      </c>
    </row>
    <row r="1321">
      <c r="Y1321" t="inlineStr">
        <is>
          <t>San Bernardo</t>
        </is>
      </c>
      <c r="Z1321" t="inlineStr">
        <is>
          <t>Peñas Blancas</t>
        </is>
      </c>
    </row>
    <row r="1322">
      <c r="Y1322" t="inlineStr">
        <is>
          <t>San Bernardo</t>
        </is>
      </c>
      <c r="Z1322" t="inlineStr">
        <is>
          <t>Pindal Alto</t>
        </is>
      </c>
    </row>
    <row r="1323">
      <c r="Y1323" t="inlineStr">
        <is>
          <t>San Bernardo</t>
        </is>
      </c>
      <c r="Z1323" t="inlineStr">
        <is>
          <t>Pindal Bajo</t>
        </is>
      </c>
    </row>
    <row r="1324">
      <c r="Y1324" t="inlineStr">
        <is>
          <t>San Bernardo</t>
        </is>
      </c>
      <c r="Z1324" t="inlineStr">
        <is>
          <t>Plazuelas</t>
        </is>
      </c>
    </row>
    <row r="1325">
      <c r="Y1325" t="inlineStr">
        <is>
          <t>San Bernardo</t>
        </is>
      </c>
      <c r="Z1325" t="inlineStr">
        <is>
          <t>Pueblo Viejo</t>
        </is>
      </c>
    </row>
    <row r="1326">
      <c r="Y1326" t="inlineStr">
        <is>
          <t>San Bernardo</t>
        </is>
      </c>
      <c r="Z1326" t="inlineStr">
        <is>
          <t>Sabanetas</t>
        </is>
      </c>
    </row>
    <row r="1327">
      <c r="Y1327" t="inlineStr">
        <is>
          <t>San Bernardo</t>
        </is>
      </c>
      <c r="Z1327" t="inlineStr">
        <is>
          <t>San Antonio Alto</t>
        </is>
      </c>
    </row>
    <row r="1328">
      <c r="Y1328" t="inlineStr">
        <is>
          <t>San Bernardo</t>
        </is>
      </c>
      <c r="Z1328" t="inlineStr">
        <is>
          <t>San Antonio Bajo</t>
        </is>
      </c>
    </row>
    <row r="1329">
      <c r="Y1329" t="inlineStr">
        <is>
          <t>San Bernardo</t>
        </is>
      </c>
      <c r="Z1329" t="inlineStr">
        <is>
          <t>San Francisco</t>
        </is>
      </c>
    </row>
    <row r="1330">
      <c r="Y1330" t="inlineStr">
        <is>
          <t>San Bernardo</t>
        </is>
      </c>
      <c r="Z1330" t="inlineStr">
        <is>
          <t>San Vicente</t>
        </is>
      </c>
    </row>
    <row r="1331">
      <c r="Y1331" t="inlineStr">
        <is>
          <t>San Bernardo</t>
        </is>
      </c>
      <c r="Z1331" t="inlineStr">
        <is>
          <t>Villa María</t>
        </is>
      </c>
    </row>
    <row r="1332">
      <c r="Y1332" t="inlineStr">
        <is>
          <t>San Bernardo</t>
        </is>
      </c>
      <c r="Z1332" t="inlineStr">
        <is>
          <t>Villa Nueva</t>
        </is>
      </c>
    </row>
    <row r="1333">
      <c r="Y1333" t="inlineStr">
        <is>
          <t>San Lorenzo</t>
        </is>
      </c>
      <c r="Z1333" t="inlineStr">
        <is>
          <t>Armenia</t>
        </is>
      </c>
    </row>
    <row r="1334">
      <c r="Y1334" t="inlineStr">
        <is>
          <t>San Lorenzo</t>
        </is>
      </c>
      <c r="Z1334" t="inlineStr">
        <is>
          <t>Bellavista</t>
        </is>
      </c>
    </row>
    <row r="1335">
      <c r="Y1335" t="inlineStr">
        <is>
          <t>San Lorenzo</t>
        </is>
      </c>
      <c r="Z1335" t="inlineStr">
        <is>
          <t>Bellavista Vegas</t>
        </is>
      </c>
    </row>
    <row r="1336">
      <c r="Y1336" t="inlineStr">
        <is>
          <t>San Lorenzo</t>
        </is>
      </c>
      <c r="Z1336" t="inlineStr">
        <is>
          <t>Bolivar</t>
        </is>
      </c>
    </row>
    <row r="1337">
      <c r="Y1337" t="inlineStr">
        <is>
          <t>San Lorenzo</t>
        </is>
      </c>
      <c r="Z1337" t="inlineStr">
        <is>
          <t>Corpus</t>
        </is>
      </c>
    </row>
    <row r="1338">
      <c r="Y1338" t="inlineStr">
        <is>
          <t>San Lorenzo</t>
        </is>
      </c>
      <c r="Z1338" t="inlineStr">
        <is>
          <t>El Carmen</t>
        </is>
      </c>
    </row>
    <row r="1339">
      <c r="Y1339" t="inlineStr">
        <is>
          <t>San Lorenzo</t>
        </is>
      </c>
      <c r="Z1339" t="inlineStr">
        <is>
          <t>El Chepe</t>
        </is>
      </c>
    </row>
    <row r="1340">
      <c r="Y1340" t="inlineStr">
        <is>
          <t>San Lorenzo</t>
        </is>
      </c>
      <c r="Z1340" t="inlineStr">
        <is>
          <t>El Cofre</t>
        </is>
      </c>
    </row>
    <row r="1341">
      <c r="Y1341" t="inlineStr">
        <is>
          <t>San Lorenzo</t>
        </is>
      </c>
      <c r="Z1341" t="inlineStr">
        <is>
          <t>El Guabo</t>
        </is>
      </c>
    </row>
    <row r="1342">
      <c r="Y1342" t="inlineStr">
        <is>
          <t>San Lorenzo</t>
        </is>
      </c>
      <c r="Z1342" t="inlineStr">
        <is>
          <t>El Mirador</t>
        </is>
      </c>
    </row>
    <row r="1343">
      <c r="Y1343" t="inlineStr">
        <is>
          <t>San Lorenzo</t>
        </is>
      </c>
      <c r="Z1343" t="inlineStr">
        <is>
          <t>El Pedregal</t>
        </is>
      </c>
    </row>
    <row r="1344">
      <c r="Y1344" t="inlineStr">
        <is>
          <t>San Lorenzo</t>
        </is>
      </c>
      <c r="Z1344" t="inlineStr">
        <is>
          <t>El Piñal</t>
        </is>
      </c>
    </row>
    <row r="1345">
      <c r="Y1345" t="inlineStr">
        <is>
          <t>San Lorenzo</t>
        </is>
      </c>
      <c r="Z1345" t="inlineStr">
        <is>
          <t>El Placer</t>
        </is>
      </c>
    </row>
    <row r="1346">
      <c r="Y1346" t="inlineStr">
        <is>
          <t>San Lorenzo</t>
        </is>
      </c>
      <c r="Z1346" t="inlineStr">
        <is>
          <t>El Recodo</t>
        </is>
      </c>
    </row>
    <row r="1347">
      <c r="Y1347" t="inlineStr">
        <is>
          <t>San Lorenzo</t>
        </is>
      </c>
      <c r="Z1347" t="inlineStr">
        <is>
          <t>El Rosal</t>
        </is>
      </c>
    </row>
    <row r="1348">
      <c r="Y1348" t="inlineStr">
        <is>
          <t>San Lorenzo</t>
        </is>
      </c>
      <c r="Z1348" t="inlineStr">
        <is>
          <t>El Tablon del Guabo</t>
        </is>
      </c>
    </row>
    <row r="1349">
      <c r="Y1349" t="inlineStr">
        <is>
          <t>San Lorenzo</t>
        </is>
      </c>
      <c r="Z1349" t="inlineStr">
        <is>
          <t>El Vergel</t>
        </is>
      </c>
    </row>
    <row r="1350">
      <c r="Y1350" t="inlineStr">
        <is>
          <t>San Lorenzo</t>
        </is>
      </c>
      <c r="Z1350" t="inlineStr">
        <is>
          <t>El Yunga</t>
        </is>
      </c>
    </row>
    <row r="1351">
      <c r="Y1351" t="inlineStr">
        <is>
          <t>San Lorenzo</t>
        </is>
      </c>
      <c r="Z1351" t="inlineStr">
        <is>
          <t>La Abrigada</t>
        </is>
      </c>
    </row>
    <row r="1352">
      <c r="Y1352" t="inlineStr">
        <is>
          <t>San Lorenzo</t>
        </is>
      </c>
      <c r="Z1352" t="inlineStr">
        <is>
          <t>La Cabaña</t>
        </is>
      </c>
    </row>
    <row r="1353">
      <c r="Y1353" t="inlineStr">
        <is>
          <t>San Lorenzo</t>
        </is>
      </c>
      <c r="Z1353" t="inlineStr">
        <is>
          <t>La Cañada</t>
        </is>
      </c>
    </row>
    <row r="1354">
      <c r="Y1354" t="inlineStr">
        <is>
          <t>San Lorenzo</t>
        </is>
      </c>
      <c r="Z1354" t="inlineStr">
        <is>
          <t>La Estancia</t>
        </is>
      </c>
    </row>
    <row r="1355">
      <c r="Y1355" t="inlineStr">
        <is>
          <t>San Lorenzo</t>
        </is>
      </c>
      <c r="Z1355" t="inlineStr">
        <is>
          <t>La Honda</t>
        </is>
      </c>
    </row>
    <row r="1356">
      <c r="Y1356" t="inlineStr">
        <is>
          <t>San Lorenzo</t>
        </is>
      </c>
      <c r="Z1356" t="inlineStr">
        <is>
          <t>La Laguna</t>
        </is>
      </c>
    </row>
    <row r="1357">
      <c r="Y1357" t="inlineStr">
        <is>
          <t>San Lorenzo</t>
        </is>
      </c>
      <c r="Z1357" t="inlineStr">
        <is>
          <t>La Palma</t>
        </is>
      </c>
    </row>
    <row r="1358">
      <c r="Y1358" t="inlineStr">
        <is>
          <t>San Lorenzo</t>
        </is>
      </c>
      <c r="Z1358" t="inlineStr">
        <is>
          <t>La Pradera</t>
        </is>
      </c>
    </row>
    <row r="1359">
      <c r="Y1359" t="inlineStr">
        <is>
          <t>San Lorenzo</t>
        </is>
      </c>
      <c r="Z1359" t="inlineStr">
        <is>
          <t>La Rejoya</t>
        </is>
      </c>
    </row>
    <row r="1360">
      <c r="Y1360" t="inlineStr">
        <is>
          <t>San Lorenzo</t>
        </is>
      </c>
      <c r="Z1360" t="inlineStr">
        <is>
          <t>Las Vegas</t>
        </is>
      </c>
    </row>
    <row r="1361">
      <c r="Y1361" t="inlineStr">
        <is>
          <t>San Lorenzo</t>
        </is>
      </c>
      <c r="Z1361" t="inlineStr">
        <is>
          <t>Los Cristales</t>
        </is>
      </c>
    </row>
    <row r="1362">
      <c r="Y1362" t="inlineStr">
        <is>
          <t>San Lorenzo</t>
        </is>
      </c>
      <c r="Z1362" t="inlineStr">
        <is>
          <t>Los Pinos</t>
        </is>
      </c>
    </row>
    <row r="1363">
      <c r="Y1363" t="inlineStr">
        <is>
          <t>San Lorenzo</t>
        </is>
      </c>
      <c r="Z1363" t="inlineStr">
        <is>
          <t>Madroñero</t>
        </is>
      </c>
    </row>
    <row r="1364">
      <c r="Y1364" t="inlineStr">
        <is>
          <t>San Lorenzo</t>
        </is>
      </c>
      <c r="Z1364" t="inlineStr">
        <is>
          <t>Mosqueral</t>
        </is>
      </c>
    </row>
    <row r="1365">
      <c r="Y1365" t="inlineStr">
        <is>
          <t>San Lorenzo</t>
        </is>
      </c>
      <c r="Z1365" t="inlineStr">
        <is>
          <t>Palmira</t>
        </is>
      </c>
    </row>
    <row r="1366">
      <c r="Y1366" t="inlineStr">
        <is>
          <t>San Lorenzo</t>
        </is>
      </c>
      <c r="Z1366" t="inlineStr">
        <is>
          <t>Salinas</t>
        </is>
      </c>
    </row>
    <row r="1367">
      <c r="Y1367" t="inlineStr">
        <is>
          <t>San Lorenzo</t>
        </is>
      </c>
      <c r="Z1367" t="inlineStr">
        <is>
          <t>San Antonio</t>
        </is>
      </c>
    </row>
    <row r="1368">
      <c r="Y1368" t="inlineStr">
        <is>
          <t>San Lorenzo</t>
        </is>
      </c>
      <c r="Z1368" t="inlineStr">
        <is>
          <t>San Clemente</t>
        </is>
      </c>
    </row>
    <row r="1369">
      <c r="Y1369" t="inlineStr">
        <is>
          <t>San Lorenzo</t>
        </is>
      </c>
      <c r="Z1369" t="inlineStr">
        <is>
          <t>San Felipe</t>
        </is>
      </c>
    </row>
    <row r="1370">
      <c r="Y1370" t="inlineStr">
        <is>
          <t>San Lorenzo</t>
        </is>
      </c>
      <c r="Z1370" t="inlineStr">
        <is>
          <t>San Francisco</t>
        </is>
      </c>
    </row>
    <row r="1371">
      <c r="Y1371" t="inlineStr">
        <is>
          <t>San Lorenzo</t>
        </is>
      </c>
      <c r="Z1371" t="inlineStr">
        <is>
          <t>San Gerardo</t>
        </is>
      </c>
    </row>
    <row r="1372">
      <c r="Y1372" t="inlineStr">
        <is>
          <t>San Lorenzo</t>
        </is>
      </c>
      <c r="Z1372" t="inlineStr">
        <is>
          <t>San Isidro</t>
        </is>
      </c>
    </row>
    <row r="1373">
      <c r="Y1373" t="inlineStr">
        <is>
          <t>San Lorenzo</t>
        </is>
      </c>
      <c r="Z1373" t="inlineStr">
        <is>
          <t>San José Alto</t>
        </is>
      </c>
    </row>
    <row r="1374">
      <c r="Y1374" t="inlineStr">
        <is>
          <t>San Lorenzo</t>
        </is>
      </c>
      <c r="Z1374" t="inlineStr">
        <is>
          <t>San José Bajo</t>
        </is>
      </c>
    </row>
    <row r="1375">
      <c r="Y1375" t="inlineStr">
        <is>
          <t>San Lorenzo</t>
        </is>
      </c>
      <c r="Z1375" t="inlineStr">
        <is>
          <t>San Lorenzo</t>
        </is>
      </c>
    </row>
    <row r="1376">
      <c r="Y1376" t="inlineStr">
        <is>
          <t>San Lorenzo</t>
        </is>
      </c>
      <c r="Z1376" t="inlineStr">
        <is>
          <t>San Pablo</t>
        </is>
      </c>
    </row>
    <row r="1377">
      <c r="Y1377" t="inlineStr">
        <is>
          <t>San Lorenzo</t>
        </is>
      </c>
      <c r="Z1377" t="inlineStr">
        <is>
          <t>San Rafael</t>
        </is>
      </c>
    </row>
    <row r="1378">
      <c r="Y1378" t="inlineStr">
        <is>
          <t>San Lorenzo</t>
        </is>
      </c>
      <c r="Z1378" t="inlineStr">
        <is>
          <t>San Vicente</t>
        </is>
      </c>
    </row>
    <row r="1379">
      <c r="Y1379" t="inlineStr">
        <is>
          <t>San Lorenzo</t>
        </is>
      </c>
      <c r="Z1379" t="inlineStr">
        <is>
          <t>Santa Cecilia</t>
        </is>
      </c>
    </row>
    <row r="1380">
      <c r="Y1380" t="inlineStr">
        <is>
          <t>San Lorenzo</t>
        </is>
      </c>
      <c r="Z1380" t="inlineStr">
        <is>
          <t>Santa Cruz</t>
        </is>
      </c>
    </row>
    <row r="1381">
      <c r="Y1381" t="inlineStr">
        <is>
          <t>San Lorenzo</t>
        </is>
      </c>
      <c r="Z1381" t="inlineStr">
        <is>
          <t>Santa Helena</t>
        </is>
      </c>
    </row>
    <row r="1382">
      <c r="Y1382" t="inlineStr">
        <is>
          <t>San Lorenzo</t>
        </is>
      </c>
      <c r="Z1382" t="inlineStr">
        <is>
          <t>Santa Marta</t>
        </is>
      </c>
    </row>
    <row r="1383">
      <c r="Y1383" t="inlineStr">
        <is>
          <t>San Lorenzo</t>
        </is>
      </c>
      <c r="Z1383" t="inlineStr">
        <is>
          <t>Santa Monica</t>
        </is>
      </c>
    </row>
    <row r="1384">
      <c r="Y1384" t="inlineStr">
        <is>
          <t>San Lorenzo</t>
        </is>
      </c>
      <c r="Z1384" t="inlineStr">
        <is>
          <t>Santa Rita</t>
        </is>
      </c>
    </row>
    <row r="1385">
      <c r="Y1385" t="inlineStr">
        <is>
          <t>San Lorenzo</t>
        </is>
      </c>
      <c r="Z1385" t="inlineStr">
        <is>
          <t>Valparaiso Alto</t>
        </is>
      </c>
    </row>
    <row r="1386">
      <c r="Y1386" t="inlineStr">
        <is>
          <t>San Lorenzo</t>
        </is>
      </c>
      <c r="Z1386" t="inlineStr">
        <is>
          <t>Valparaiso Bajo</t>
        </is>
      </c>
    </row>
    <row r="1387">
      <c r="Y1387" t="inlineStr">
        <is>
          <t>San Lorenzo</t>
        </is>
      </c>
      <c r="Z1387" t="inlineStr">
        <is>
          <t>Vuelta Honda</t>
        </is>
      </c>
    </row>
    <row r="1388">
      <c r="Y1388" t="inlineStr">
        <is>
          <t>San Pablo</t>
        </is>
      </c>
      <c r="Z1388" t="inlineStr">
        <is>
          <t>Achupallas</t>
        </is>
      </c>
    </row>
    <row r="1389">
      <c r="Y1389" t="inlineStr">
        <is>
          <t>San Pablo</t>
        </is>
      </c>
      <c r="Z1389" t="inlineStr">
        <is>
          <t>Aguaduas</t>
        </is>
      </c>
    </row>
    <row r="1390">
      <c r="Y1390" t="inlineStr">
        <is>
          <t>San Pablo</t>
        </is>
      </c>
      <c r="Z1390" t="inlineStr">
        <is>
          <t>Altamira</t>
        </is>
      </c>
    </row>
    <row r="1391">
      <c r="Y1391" t="inlineStr">
        <is>
          <t>San Pablo</t>
        </is>
      </c>
      <c r="Z1391" t="inlineStr">
        <is>
          <t>Alto Llano</t>
        </is>
      </c>
    </row>
    <row r="1392">
      <c r="Y1392" t="inlineStr">
        <is>
          <t>San Pablo</t>
        </is>
      </c>
      <c r="Z1392" t="inlineStr">
        <is>
          <t>Araditas</t>
        </is>
      </c>
    </row>
    <row r="1393">
      <c r="Y1393" t="inlineStr">
        <is>
          <t>San Pablo</t>
        </is>
      </c>
      <c r="Z1393" t="inlineStr">
        <is>
          <t>Bateros</t>
        </is>
      </c>
    </row>
    <row r="1394">
      <c r="Y1394" t="inlineStr">
        <is>
          <t>San Pablo</t>
        </is>
      </c>
      <c r="Z1394" t="inlineStr">
        <is>
          <t>Bellavista</t>
        </is>
      </c>
    </row>
    <row r="1395">
      <c r="Y1395" t="inlineStr">
        <is>
          <t>San Pablo</t>
        </is>
      </c>
      <c r="Z1395" t="inlineStr">
        <is>
          <t>Betania</t>
        </is>
      </c>
    </row>
    <row r="1396">
      <c r="Y1396" t="inlineStr">
        <is>
          <t>San Pablo</t>
        </is>
      </c>
      <c r="Z1396" t="inlineStr">
        <is>
          <t>Briceño</t>
        </is>
      </c>
    </row>
    <row r="1397">
      <c r="Y1397" t="inlineStr">
        <is>
          <t>San Pablo</t>
        </is>
      </c>
      <c r="Z1397" t="inlineStr">
        <is>
          <t>Campo Bello</t>
        </is>
      </c>
    </row>
    <row r="1398">
      <c r="Y1398" t="inlineStr">
        <is>
          <t>San Pablo</t>
        </is>
      </c>
      <c r="Z1398" t="inlineStr">
        <is>
          <t>Cantarrano</t>
        </is>
      </c>
    </row>
    <row r="1399">
      <c r="Y1399" t="inlineStr">
        <is>
          <t>San Pablo</t>
        </is>
      </c>
      <c r="Z1399" t="inlineStr">
        <is>
          <t>Chilcal Alto</t>
        </is>
      </c>
    </row>
    <row r="1400">
      <c r="Y1400" t="inlineStr">
        <is>
          <t>San Pablo</t>
        </is>
      </c>
      <c r="Z1400" t="inlineStr">
        <is>
          <t>Chilcal Bajo</t>
        </is>
      </c>
    </row>
    <row r="1401">
      <c r="Y1401" t="inlineStr">
        <is>
          <t>San Pablo</t>
        </is>
      </c>
      <c r="Z1401" t="inlineStr">
        <is>
          <t>Dantas</t>
        </is>
      </c>
    </row>
    <row r="1402">
      <c r="Y1402" t="inlineStr">
        <is>
          <t>San Pablo</t>
        </is>
      </c>
      <c r="Z1402" t="inlineStr">
        <is>
          <t>Derrumbes</t>
        </is>
      </c>
    </row>
    <row r="1403">
      <c r="Y1403" t="inlineStr">
        <is>
          <t>San Pablo</t>
        </is>
      </c>
      <c r="Z1403" t="inlineStr">
        <is>
          <t>El Agrado</t>
        </is>
      </c>
    </row>
    <row r="1404">
      <c r="Y1404" t="inlineStr">
        <is>
          <t>San Pablo</t>
        </is>
      </c>
      <c r="Z1404" t="inlineStr">
        <is>
          <t>El Alto</t>
        </is>
      </c>
    </row>
    <row r="1405">
      <c r="Y1405" t="inlineStr">
        <is>
          <t>San Pablo</t>
        </is>
      </c>
      <c r="Z1405" t="inlineStr">
        <is>
          <t>El Bohio</t>
        </is>
      </c>
    </row>
    <row r="1406">
      <c r="Y1406" t="inlineStr">
        <is>
          <t>San Pablo</t>
        </is>
      </c>
      <c r="Z1406" t="inlineStr">
        <is>
          <t>El Diamante</t>
        </is>
      </c>
    </row>
    <row r="1407">
      <c r="Y1407" t="inlineStr">
        <is>
          <t>San Pablo</t>
        </is>
      </c>
      <c r="Z1407" t="inlineStr">
        <is>
          <t>El Diviso</t>
        </is>
      </c>
    </row>
    <row r="1408">
      <c r="Y1408" t="inlineStr">
        <is>
          <t>San Pablo</t>
        </is>
      </c>
      <c r="Z1408" t="inlineStr">
        <is>
          <t>El Lindero</t>
        </is>
      </c>
    </row>
    <row r="1409">
      <c r="Y1409" t="inlineStr">
        <is>
          <t>San Pablo</t>
        </is>
      </c>
      <c r="Z1409" t="inlineStr">
        <is>
          <t>El Meson</t>
        </is>
      </c>
    </row>
    <row r="1410">
      <c r="Y1410" t="inlineStr">
        <is>
          <t>San Pablo</t>
        </is>
      </c>
      <c r="Z1410" t="inlineStr">
        <is>
          <t>El Tablon</t>
        </is>
      </c>
    </row>
    <row r="1411">
      <c r="Y1411" t="inlineStr">
        <is>
          <t>San Pablo</t>
        </is>
      </c>
      <c r="Z1411" t="inlineStr">
        <is>
          <t>Escubillal</t>
        </is>
      </c>
    </row>
    <row r="1412">
      <c r="Y1412" t="inlineStr">
        <is>
          <t>San Pablo</t>
        </is>
      </c>
      <c r="Z1412" t="inlineStr">
        <is>
          <t>Francia</t>
        </is>
      </c>
    </row>
    <row r="1413">
      <c r="Y1413" t="inlineStr">
        <is>
          <t>San Pablo</t>
        </is>
      </c>
      <c r="Z1413" t="inlineStr">
        <is>
          <t>La Brisa</t>
        </is>
      </c>
    </row>
    <row r="1414">
      <c r="Y1414" t="inlineStr">
        <is>
          <t>San Pablo</t>
        </is>
      </c>
      <c r="Z1414" t="inlineStr">
        <is>
          <t>La Cañada</t>
        </is>
      </c>
    </row>
    <row r="1415">
      <c r="Y1415" t="inlineStr">
        <is>
          <t>San Pablo</t>
        </is>
      </c>
      <c r="Z1415" t="inlineStr">
        <is>
          <t>La Chorrera</t>
        </is>
      </c>
    </row>
    <row r="1416">
      <c r="Y1416" t="inlineStr">
        <is>
          <t>San Pablo</t>
        </is>
      </c>
      <c r="Z1416" t="inlineStr">
        <is>
          <t>La Cuchilla</t>
        </is>
      </c>
    </row>
    <row r="1417">
      <c r="Y1417" t="inlineStr">
        <is>
          <t>San Pablo</t>
        </is>
      </c>
      <c r="Z1417" t="inlineStr">
        <is>
          <t>La Elvira</t>
        </is>
      </c>
    </row>
    <row r="1418">
      <c r="Y1418" t="inlineStr">
        <is>
          <t>San Pablo</t>
        </is>
      </c>
      <c r="Z1418" t="inlineStr">
        <is>
          <t>La Florida</t>
        </is>
      </c>
    </row>
    <row r="1419">
      <c r="Y1419" t="inlineStr">
        <is>
          <t>San Pablo</t>
        </is>
      </c>
      <c r="Z1419" t="inlineStr">
        <is>
          <t>Laderas</t>
        </is>
      </c>
    </row>
    <row r="1420">
      <c r="Y1420" t="inlineStr">
        <is>
          <t>San Pablo</t>
        </is>
      </c>
      <c r="Z1420" t="inlineStr">
        <is>
          <t>Lagunitas</t>
        </is>
      </c>
    </row>
    <row r="1421">
      <c r="Y1421" t="inlineStr">
        <is>
          <t>San Pablo</t>
        </is>
      </c>
      <c r="Z1421" t="inlineStr">
        <is>
          <t>Las Juntas</t>
        </is>
      </c>
    </row>
    <row r="1422">
      <c r="Y1422" t="inlineStr">
        <is>
          <t>San Pablo</t>
        </is>
      </c>
      <c r="Z1422" t="inlineStr">
        <is>
          <t>Las Palmas</t>
        </is>
      </c>
    </row>
    <row r="1423">
      <c r="Y1423" t="inlineStr">
        <is>
          <t>San Pablo</t>
        </is>
      </c>
      <c r="Z1423" t="inlineStr">
        <is>
          <t>Llanos Chiquitos</t>
        </is>
      </c>
    </row>
    <row r="1424">
      <c r="Y1424" t="inlineStr">
        <is>
          <t>San Pablo</t>
        </is>
      </c>
      <c r="Z1424" t="inlineStr">
        <is>
          <t>Los Llanos</t>
        </is>
      </c>
    </row>
    <row r="1425">
      <c r="Y1425" t="inlineStr">
        <is>
          <t>San Pablo</t>
        </is>
      </c>
      <c r="Z1425" t="inlineStr">
        <is>
          <t>Los Robles</t>
        </is>
      </c>
    </row>
    <row r="1426">
      <c r="Y1426" t="inlineStr">
        <is>
          <t>San Pablo</t>
        </is>
      </c>
      <c r="Z1426" t="inlineStr">
        <is>
          <t>Lucitania</t>
        </is>
      </c>
    </row>
    <row r="1427">
      <c r="Y1427" t="inlineStr">
        <is>
          <t>San Pablo</t>
        </is>
      </c>
      <c r="Z1427" t="inlineStr">
        <is>
          <t>Nueva Florida</t>
        </is>
      </c>
    </row>
    <row r="1428">
      <c r="Y1428" t="inlineStr">
        <is>
          <t>San Pablo</t>
        </is>
      </c>
      <c r="Z1428" t="inlineStr">
        <is>
          <t>Playa Alta</t>
        </is>
      </c>
    </row>
    <row r="1429">
      <c r="Y1429" t="inlineStr">
        <is>
          <t>San Pablo</t>
        </is>
      </c>
      <c r="Z1429" t="inlineStr">
        <is>
          <t>Playa Baja</t>
        </is>
      </c>
    </row>
    <row r="1430">
      <c r="Y1430" t="inlineStr">
        <is>
          <t>San Pablo</t>
        </is>
      </c>
      <c r="Z1430" t="inlineStr">
        <is>
          <t>Praditos</t>
        </is>
      </c>
    </row>
    <row r="1431">
      <c r="Y1431" t="inlineStr">
        <is>
          <t>San Pablo</t>
        </is>
      </c>
      <c r="Z1431" t="inlineStr">
        <is>
          <t>Ramal Alto</t>
        </is>
      </c>
    </row>
    <row r="1432">
      <c r="Y1432" t="inlineStr">
        <is>
          <t>San Pablo</t>
        </is>
      </c>
      <c r="Z1432" t="inlineStr">
        <is>
          <t>Ramal Bajo</t>
        </is>
      </c>
    </row>
    <row r="1433">
      <c r="Y1433" t="inlineStr">
        <is>
          <t>San Pablo</t>
        </is>
      </c>
      <c r="Z1433" t="inlineStr">
        <is>
          <t>Vega Quito</t>
        </is>
      </c>
    </row>
    <row r="1434">
      <c r="Y1434" t="inlineStr">
        <is>
          <t>San Pablo</t>
        </is>
      </c>
      <c r="Z1434" t="inlineStr">
        <is>
          <t>Yunguilla</t>
        </is>
      </c>
    </row>
    <row r="1435">
      <c r="Y1435" t="inlineStr">
        <is>
          <t>San Pedro de Cartago</t>
        </is>
      </c>
      <c r="Z1435" t="inlineStr">
        <is>
          <t>Botanilla</t>
        </is>
      </c>
    </row>
    <row r="1436">
      <c r="Y1436" t="inlineStr">
        <is>
          <t>San Pedro de Cartago</t>
        </is>
      </c>
      <c r="Z1436" t="inlineStr">
        <is>
          <t>Buenos Aires</t>
        </is>
      </c>
    </row>
    <row r="1437">
      <c r="Y1437" t="inlineStr">
        <is>
          <t>San Pedro de Cartago</t>
        </is>
      </c>
      <c r="Z1437" t="inlineStr">
        <is>
          <t>Cartago</t>
        </is>
      </c>
    </row>
    <row r="1438">
      <c r="Y1438" t="inlineStr">
        <is>
          <t>San Pedro de Cartago</t>
        </is>
      </c>
      <c r="Z1438" t="inlineStr">
        <is>
          <t>Chimayoy Alta</t>
        </is>
      </c>
    </row>
    <row r="1439">
      <c r="Y1439" t="inlineStr">
        <is>
          <t>San Pedro de Cartago</t>
        </is>
      </c>
      <c r="Z1439" t="inlineStr">
        <is>
          <t>Chimayoy Baja</t>
        </is>
      </c>
    </row>
    <row r="1440">
      <c r="Y1440" t="inlineStr">
        <is>
          <t>San Pedro de Cartago</t>
        </is>
      </c>
      <c r="Z1440" t="inlineStr">
        <is>
          <t>Domingo Loma</t>
        </is>
      </c>
    </row>
    <row r="1441">
      <c r="Y1441" t="inlineStr">
        <is>
          <t>San Pedro de Cartago</t>
        </is>
      </c>
      <c r="Z1441" t="inlineStr">
        <is>
          <t>El Arenal</t>
        </is>
      </c>
    </row>
    <row r="1442">
      <c r="Y1442" t="inlineStr">
        <is>
          <t>San Pedro de Cartago</t>
        </is>
      </c>
      <c r="Z1442" t="inlineStr">
        <is>
          <t>El Salado</t>
        </is>
      </c>
    </row>
    <row r="1443">
      <c r="Y1443" t="inlineStr">
        <is>
          <t>San Pedro de Cartago</t>
        </is>
      </c>
      <c r="Z1443" t="inlineStr">
        <is>
          <t>La Chorrera</t>
        </is>
      </c>
    </row>
    <row r="1444">
      <c r="Y1444" t="inlineStr">
        <is>
          <t>San Pedro de Cartago</t>
        </is>
      </c>
      <c r="Z1444" t="inlineStr">
        <is>
          <t>La Comunidad</t>
        </is>
      </c>
    </row>
    <row r="1445">
      <c r="Y1445" t="inlineStr">
        <is>
          <t>San Pedro de Cartago</t>
        </is>
      </c>
      <c r="Z1445" t="inlineStr">
        <is>
          <t>La Estancia</t>
        </is>
      </c>
    </row>
    <row r="1446">
      <c r="Y1446" t="inlineStr">
        <is>
          <t>San Pedro de Cartago</t>
        </is>
      </c>
      <c r="Z1446" t="inlineStr">
        <is>
          <t>La Rinconada</t>
        </is>
      </c>
    </row>
    <row r="1447">
      <c r="Y1447" t="inlineStr">
        <is>
          <t>San Pedro de Cartago</t>
        </is>
      </c>
      <c r="Z1447" t="inlineStr">
        <is>
          <t>Los Frailes</t>
        </is>
      </c>
    </row>
    <row r="1448">
      <c r="Y1448" t="inlineStr">
        <is>
          <t>San Pedro de Cartago</t>
        </is>
      </c>
      <c r="Z1448" t="inlineStr">
        <is>
          <t>Martín</t>
        </is>
      </c>
    </row>
    <row r="1449">
      <c r="Y1449" t="inlineStr">
        <is>
          <t>San Pedro de Cartago</t>
        </is>
      </c>
      <c r="Z1449" t="inlineStr">
        <is>
          <t>San Isidro</t>
        </is>
      </c>
    </row>
    <row r="1450">
      <c r="Y1450" t="inlineStr">
        <is>
          <t>San Pedro de Cartago</t>
        </is>
      </c>
      <c r="Z1450" t="inlineStr">
        <is>
          <t>Santiago</t>
        </is>
      </c>
    </row>
    <row r="1451">
      <c r="Y1451" t="inlineStr">
        <is>
          <t>San Pedro de Cartago</t>
        </is>
      </c>
      <c r="Z1451" t="inlineStr">
        <is>
          <t>Trinidad</t>
        </is>
      </c>
    </row>
    <row r="1452">
      <c r="Y1452" t="inlineStr">
        <is>
          <t>San Pedro de Cartago</t>
        </is>
      </c>
      <c r="Z1452" t="inlineStr">
        <is>
          <t>Yanangoma</t>
        </is>
      </c>
    </row>
    <row r="1453">
      <c r="Y1453" t="inlineStr">
        <is>
          <t>Sandoná</t>
        </is>
      </c>
      <c r="Z1453" t="inlineStr">
        <is>
          <t>20 de Julio</t>
        </is>
      </c>
    </row>
    <row r="1454">
      <c r="Y1454" t="inlineStr">
        <is>
          <t>Sandoná</t>
        </is>
      </c>
      <c r="Z1454" t="inlineStr">
        <is>
          <t>Altamira Cruz de Arada</t>
        </is>
      </c>
    </row>
    <row r="1455">
      <c r="Y1455" t="inlineStr">
        <is>
          <t>Sandoná</t>
        </is>
      </c>
      <c r="Z1455" t="inlineStr">
        <is>
          <t>Alto Ingenio</t>
        </is>
      </c>
    </row>
    <row r="1456">
      <c r="Y1456" t="inlineStr">
        <is>
          <t>Sandoná</t>
        </is>
      </c>
      <c r="Z1456" t="inlineStr">
        <is>
          <t>Alto Jimenez</t>
        </is>
      </c>
    </row>
    <row r="1457">
      <c r="Y1457" t="inlineStr">
        <is>
          <t>Sandoná</t>
        </is>
      </c>
      <c r="Z1457" t="inlineStr">
        <is>
          <t>Balcon Alto</t>
        </is>
      </c>
    </row>
    <row r="1458">
      <c r="Y1458" t="inlineStr">
        <is>
          <t>Sandoná</t>
        </is>
      </c>
      <c r="Z1458" t="inlineStr">
        <is>
          <t>Bellavista</t>
        </is>
      </c>
    </row>
    <row r="1459">
      <c r="Y1459" t="inlineStr">
        <is>
          <t>Sandoná</t>
        </is>
      </c>
      <c r="Z1459" t="inlineStr">
        <is>
          <t>Bohorques</t>
        </is>
      </c>
    </row>
    <row r="1460">
      <c r="Y1460" t="inlineStr">
        <is>
          <t>Sandoná</t>
        </is>
      </c>
      <c r="Z1460" t="inlineStr">
        <is>
          <t>Bolivar</t>
        </is>
      </c>
    </row>
    <row r="1461">
      <c r="Y1461" t="inlineStr">
        <is>
          <t>Sandoná</t>
        </is>
      </c>
      <c r="Z1461" t="inlineStr">
        <is>
          <t>Chavez</t>
        </is>
      </c>
    </row>
    <row r="1462">
      <c r="Y1462" t="inlineStr">
        <is>
          <t>Sandoná</t>
        </is>
      </c>
      <c r="Z1462" t="inlineStr">
        <is>
          <t>Chupadero</t>
        </is>
      </c>
    </row>
    <row r="1463">
      <c r="Y1463" t="inlineStr">
        <is>
          <t>Sandoná</t>
        </is>
      </c>
      <c r="Z1463" t="inlineStr">
        <is>
          <t>Dorada Guaitara</t>
        </is>
      </c>
    </row>
    <row r="1464">
      <c r="Y1464" t="inlineStr">
        <is>
          <t>Sandoná</t>
        </is>
      </c>
      <c r="Z1464" t="inlineStr">
        <is>
          <t>El Vergel</t>
        </is>
      </c>
    </row>
    <row r="1465">
      <c r="Y1465" t="inlineStr">
        <is>
          <t>Sandoná</t>
        </is>
      </c>
      <c r="Z1465" t="inlineStr">
        <is>
          <t>Feliciana</t>
        </is>
      </c>
    </row>
    <row r="1466">
      <c r="Y1466" t="inlineStr">
        <is>
          <t>Sandoná</t>
        </is>
      </c>
      <c r="Z1466" t="inlineStr">
        <is>
          <t>Ingenio Centro</t>
        </is>
      </c>
    </row>
    <row r="1467">
      <c r="Y1467" t="inlineStr">
        <is>
          <t>Sandoná</t>
        </is>
      </c>
      <c r="Z1467" t="inlineStr">
        <is>
          <t>La Cocha</t>
        </is>
      </c>
    </row>
    <row r="1468">
      <c r="Y1468" t="inlineStr">
        <is>
          <t>Sandoná</t>
        </is>
      </c>
      <c r="Z1468" t="inlineStr">
        <is>
          <t>La Joya</t>
        </is>
      </c>
    </row>
    <row r="1469">
      <c r="Y1469" t="inlineStr">
        <is>
          <t>Sandoná</t>
        </is>
      </c>
      <c r="Z1469" t="inlineStr">
        <is>
          <t>La Loma</t>
        </is>
      </c>
    </row>
    <row r="1470">
      <c r="Y1470" t="inlineStr">
        <is>
          <t>Sandoná</t>
        </is>
      </c>
      <c r="Z1470" t="inlineStr">
        <is>
          <t>La Regadera</t>
        </is>
      </c>
    </row>
    <row r="1471">
      <c r="Y1471" t="inlineStr">
        <is>
          <t>Sandoná</t>
        </is>
      </c>
      <c r="Z1471" t="inlineStr">
        <is>
          <t>Maco</t>
        </is>
      </c>
    </row>
    <row r="1472">
      <c r="Y1472" t="inlineStr">
        <is>
          <t>Sandoná</t>
        </is>
      </c>
      <c r="Z1472" t="inlineStr">
        <is>
          <t>Mundo Loma</t>
        </is>
      </c>
    </row>
    <row r="1473">
      <c r="Y1473" t="inlineStr">
        <is>
          <t>Sandoná</t>
        </is>
      </c>
      <c r="Z1473" t="inlineStr">
        <is>
          <t>Paraguay</t>
        </is>
      </c>
    </row>
    <row r="1474">
      <c r="Y1474" t="inlineStr">
        <is>
          <t>Sandoná</t>
        </is>
      </c>
      <c r="Z1474" t="inlineStr">
        <is>
          <t>Plan Guaitara</t>
        </is>
      </c>
    </row>
    <row r="1475">
      <c r="Y1475" t="inlineStr">
        <is>
          <t>Sandoná</t>
        </is>
      </c>
      <c r="Z1475" t="inlineStr">
        <is>
          <t>Plan Ingenio</t>
        </is>
      </c>
    </row>
    <row r="1476">
      <c r="Y1476" t="inlineStr">
        <is>
          <t>Sandoná</t>
        </is>
      </c>
      <c r="Z1476" t="inlineStr">
        <is>
          <t>Plan Joya</t>
        </is>
      </c>
    </row>
    <row r="1477">
      <c r="Y1477" t="inlineStr">
        <is>
          <t>Sandoná</t>
        </is>
      </c>
      <c r="Z1477" t="inlineStr">
        <is>
          <t>Porto Viejo</t>
        </is>
      </c>
    </row>
    <row r="1478">
      <c r="Y1478" t="inlineStr">
        <is>
          <t>Sandoná</t>
        </is>
      </c>
      <c r="Z1478" t="inlineStr">
        <is>
          <t>Roma</t>
        </is>
      </c>
    </row>
    <row r="1479">
      <c r="Y1479" t="inlineStr">
        <is>
          <t>Sandoná</t>
        </is>
      </c>
      <c r="Z1479" t="inlineStr">
        <is>
          <t>San Andres</t>
        </is>
      </c>
    </row>
    <row r="1480">
      <c r="Y1480" t="inlineStr">
        <is>
          <t>Sandoná</t>
        </is>
      </c>
      <c r="Z1480" t="inlineStr">
        <is>
          <t>San Antonio Alto</t>
        </is>
      </c>
    </row>
    <row r="1481">
      <c r="Y1481" t="inlineStr">
        <is>
          <t>Sandoná</t>
        </is>
      </c>
      <c r="Z1481" t="inlineStr">
        <is>
          <t>San Antonio Bajo</t>
        </is>
      </c>
    </row>
    <row r="1482">
      <c r="Y1482" t="inlineStr">
        <is>
          <t>Sandoná</t>
        </is>
      </c>
      <c r="Z1482" t="inlineStr">
        <is>
          <t>San Bernardo</t>
        </is>
      </c>
    </row>
    <row r="1483">
      <c r="Y1483" t="inlineStr">
        <is>
          <t>Sandoná</t>
        </is>
      </c>
      <c r="Z1483" t="inlineStr">
        <is>
          <t>San Bernardo Guaitara</t>
        </is>
      </c>
    </row>
    <row r="1484">
      <c r="Y1484" t="inlineStr">
        <is>
          <t>Sandoná</t>
        </is>
      </c>
      <c r="Z1484" t="inlineStr">
        <is>
          <t>San Fernando</t>
        </is>
      </c>
    </row>
    <row r="1485">
      <c r="Y1485" t="inlineStr">
        <is>
          <t>Sandoná</t>
        </is>
      </c>
      <c r="Z1485" t="inlineStr">
        <is>
          <t>San Francisco Alto</t>
        </is>
      </c>
    </row>
    <row r="1486">
      <c r="Y1486" t="inlineStr">
        <is>
          <t>Sandoná</t>
        </is>
      </c>
      <c r="Z1486" t="inlineStr">
        <is>
          <t>San Francisco Bajo</t>
        </is>
      </c>
    </row>
    <row r="1487">
      <c r="Y1487" t="inlineStr">
        <is>
          <t>Sandoná</t>
        </is>
      </c>
      <c r="Z1487" t="inlineStr">
        <is>
          <t>San Gabriel</t>
        </is>
      </c>
    </row>
    <row r="1488">
      <c r="Y1488" t="inlineStr">
        <is>
          <t>Sandoná</t>
        </is>
      </c>
      <c r="Z1488" t="inlineStr">
        <is>
          <t>San Isidro</t>
        </is>
      </c>
    </row>
    <row r="1489">
      <c r="Y1489" t="inlineStr">
        <is>
          <t>Sandoná</t>
        </is>
      </c>
      <c r="Z1489" t="inlineStr">
        <is>
          <t>San José</t>
        </is>
      </c>
    </row>
    <row r="1490">
      <c r="Y1490" t="inlineStr">
        <is>
          <t>Sandoná</t>
        </is>
      </c>
      <c r="Z1490" t="inlineStr">
        <is>
          <t>San Miguel</t>
        </is>
      </c>
    </row>
    <row r="1491">
      <c r="Y1491" t="inlineStr">
        <is>
          <t>Sandoná</t>
        </is>
      </c>
      <c r="Z1491" t="inlineStr">
        <is>
          <t>San Vicente las Delicias</t>
        </is>
      </c>
    </row>
    <row r="1492">
      <c r="Y1492" t="inlineStr">
        <is>
          <t>Sandoná</t>
        </is>
      </c>
      <c r="Z1492" t="inlineStr">
        <is>
          <t>Santa Barbara</t>
        </is>
      </c>
    </row>
    <row r="1493">
      <c r="Y1493" t="inlineStr">
        <is>
          <t>Sandoná</t>
        </is>
      </c>
      <c r="Z1493" t="inlineStr">
        <is>
          <t>Santa Rosa Alto</t>
        </is>
      </c>
    </row>
    <row r="1494">
      <c r="Y1494" t="inlineStr">
        <is>
          <t>Sandoná</t>
        </is>
      </c>
      <c r="Z1494" t="inlineStr">
        <is>
          <t>Santa Rosa Centro</t>
        </is>
      </c>
    </row>
    <row r="1495">
      <c r="Y1495" t="inlineStr">
        <is>
          <t>Sandoná</t>
        </is>
      </c>
      <c r="Z1495" t="inlineStr">
        <is>
          <t>Saraconcho</t>
        </is>
      </c>
    </row>
    <row r="1496">
      <c r="Y1496" t="inlineStr">
        <is>
          <t>Sandoná</t>
        </is>
      </c>
      <c r="Z1496" t="inlineStr">
        <is>
          <t>Tambillo</t>
        </is>
      </c>
    </row>
    <row r="1497">
      <c r="Y1497" t="inlineStr">
        <is>
          <t>Santa Bárbara</t>
        </is>
      </c>
      <c r="Z1497" t="inlineStr">
        <is>
          <t>Beyotes</t>
        </is>
      </c>
    </row>
    <row r="1498">
      <c r="Y1498" t="inlineStr">
        <is>
          <t>Santa Bárbara</t>
        </is>
      </c>
      <c r="Z1498" t="inlineStr">
        <is>
          <t>Cantil</t>
        </is>
      </c>
    </row>
    <row r="1499">
      <c r="Y1499" t="inlineStr">
        <is>
          <t>Santa Bárbara</t>
        </is>
      </c>
      <c r="Z1499" t="inlineStr">
        <is>
          <t>Concejo Menor Bocas de Angostura</t>
        </is>
      </c>
    </row>
    <row r="1500">
      <c r="Y1500" t="inlineStr">
        <is>
          <t>Santa Bárbara</t>
        </is>
      </c>
      <c r="Z1500" t="inlineStr">
        <is>
          <t>Currupi</t>
        </is>
      </c>
    </row>
    <row r="1501">
      <c r="Y1501" t="inlineStr">
        <is>
          <t>Santa Bárbara</t>
        </is>
      </c>
      <c r="Z1501" t="inlineStr">
        <is>
          <t>Guayabal</t>
        </is>
      </c>
    </row>
    <row r="1502">
      <c r="Y1502" t="inlineStr">
        <is>
          <t>Santa Bárbara</t>
        </is>
      </c>
      <c r="Z1502" t="inlineStr">
        <is>
          <t>La Fragua</t>
        </is>
      </c>
    </row>
    <row r="1503">
      <c r="Y1503" t="inlineStr">
        <is>
          <t>Santa Bárbara</t>
        </is>
      </c>
      <c r="Z1503" t="inlineStr">
        <is>
          <t>Regadero</t>
        </is>
      </c>
    </row>
    <row r="1504">
      <c r="Y1504" t="inlineStr">
        <is>
          <t>Santa Bárbara</t>
        </is>
      </c>
      <c r="Z1504" t="inlineStr">
        <is>
          <t>Rodea</t>
        </is>
      </c>
    </row>
    <row r="1505">
      <c r="Y1505" t="inlineStr">
        <is>
          <t>Santa Bárbara</t>
        </is>
      </c>
      <c r="Z1505" t="inlineStr">
        <is>
          <t>Secadero</t>
        </is>
      </c>
    </row>
    <row r="1506">
      <c r="Y1506" t="inlineStr">
        <is>
          <t>Santa Bárbara</t>
        </is>
      </c>
      <c r="Z1506" t="inlineStr">
        <is>
          <t>Tablon de Tamara</t>
        </is>
      </c>
    </row>
    <row r="1507">
      <c r="Y1507" t="inlineStr">
        <is>
          <t>Santa Bárbara</t>
        </is>
      </c>
      <c r="Z1507" t="inlineStr">
        <is>
          <t>Tamalameque</t>
        </is>
      </c>
    </row>
    <row r="1508">
      <c r="Y1508" t="inlineStr">
        <is>
          <t>Santacruz</t>
        </is>
      </c>
      <c r="Z1508" t="inlineStr">
        <is>
          <t>Ballestas</t>
        </is>
      </c>
    </row>
    <row r="1509">
      <c r="Y1509" t="inlineStr">
        <is>
          <t>Santacruz</t>
        </is>
      </c>
      <c r="Z1509" t="inlineStr">
        <is>
          <t>Cambueran</t>
        </is>
      </c>
    </row>
    <row r="1510">
      <c r="Y1510" t="inlineStr">
        <is>
          <t>Santacruz</t>
        </is>
      </c>
      <c r="Z1510" t="inlineStr">
        <is>
          <t>Changez</t>
        </is>
      </c>
    </row>
    <row r="1511">
      <c r="Y1511" t="inlineStr">
        <is>
          <t>Santacruz</t>
        </is>
      </c>
      <c r="Z1511" t="inlineStr">
        <is>
          <t>El Diamante</t>
        </is>
      </c>
    </row>
    <row r="1512">
      <c r="Y1512" t="inlineStr">
        <is>
          <t>Santacruz</t>
        </is>
      </c>
      <c r="Z1512" t="inlineStr">
        <is>
          <t>El Dos</t>
        </is>
      </c>
    </row>
    <row r="1513">
      <c r="Y1513" t="inlineStr">
        <is>
          <t>Santacruz</t>
        </is>
      </c>
      <c r="Z1513" t="inlineStr">
        <is>
          <t>La Planada</t>
        </is>
      </c>
    </row>
    <row r="1514">
      <c r="Y1514" t="inlineStr">
        <is>
          <t>Santacruz</t>
        </is>
      </c>
      <c r="Z1514" t="inlineStr">
        <is>
          <t>Marriaga</t>
        </is>
      </c>
    </row>
    <row r="1515">
      <c r="Y1515" t="inlineStr">
        <is>
          <t>Santacruz</t>
        </is>
      </c>
      <c r="Z1515" t="inlineStr">
        <is>
          <t>Pedregal</t>
        </is>
      </c>
    </row>
    <row r="1516">
      <c r="Y1516" t="inlineStr">
        <is>
          <t>Santacruz</t>
        </is>
      </c>
      <c r="Z1516" t="inlineStr">
        <is>
          <t>Potrerillos</t>
        </is>
      </c>
    </row>
    <row r="1517">
      <c r="Y1517" t="inlineStr">
        <is>
          <t>Santacruz</t>
        </is>
      </c>
      <c r="Z1517" t="inlineStr">
        <is>
          <t>Potreritos</t>
        </is>
      </c>
    </row>
    <row r="1518">
      <c r="Y1518" t="inlineStr">
        <is>
          <t>Santacruz</t>
        </is>
      </c>
      <c r="Z1518" t="inlineStr">
        <is>
          <t>San José</t>
        </is>
      </c>
    </row>
    <row r="1519">
      <c r="Y1519" t="inlineStr">
        <is>
          <t>Santacruz</t>
        </is>
      </c>
      <c r="Z1519" t="inlineStr">
        <is>
          <t>San Pedro Jagua</t>
        </is>
      </c>
    </row>
    <row r="1520">
      <c r="Y1520" t="inlineStr">
        <is>
          <t>Santacruz</t>
        </is>
      </c>
      <c r="Z1520" t="inlineStr">
        <is>
          <t>Taroa</t>
        </is>
      </c>
    </row>
    <row r="1521">
      <c r="Y1521" t="inlineStr">
        <is>
          <t>Sapuyes</t>
        </is>
      </c>
      <c r="Z1521" t="inlineStr">
        <is>
          <t>El Espino</t>
        </is>
      </c>
    </row>
    <row r="1522">
      <c r="Y1522" t="inlineStr">
        <is>
          <t>Sapuyes</t>
        </is>
      </c>
      <c r="Z1522" t="inlineStr">
        <is>
          <t>La Campana</t>
        </is>
      </c>
    </row>
    <row r="1523">
      <c r="Y1523" t="inlineStr">
        <is>
          <t>Sapuyes</t>
        </is>
      </c>
      <c r="Z1523" t="inlineStr">
        <is>
          <t>La Floresta</t>
        </is>
      </c>
    </row>
    <row r="1524">
      <c r="Y1524" t="inlineStr">
        <is>
          <t>Sapuyes</t>
        </is>
      </c>
      <c r="Z1524" t="inlineStr">
        <is>
          <t>Los Monos</t>
        </is>
      </c>
    </row>
    <row r="1525">
      <c r="Y1525" t="inlineStr">
        <is>
          <t>Sapuyes</t>
        </is>
      </c>
      <c r="Z1525" t="inlineStr">
        <is>
          <t>Malaver</t>
        </is>
      </c>
    </row>
    <row r="1526">
      <c r="Y1526" t="inlineStr">
        <is>
          <t>Sapuyes</t>
        </is>
      </c>
      <c r="Z1526" t="inlineStr">
        <is>
          <t>Maramba</t>
        </is>
      </c>
    </row>
    <row r="1527">
      <c r="Y1527" t="inlineStr">
        <is>
          <t>Sapuyes</t>
        </is>
      </c>
      <c r="Z1527" t="inlineStr">
        <is>
          <t>Panamal</t>
        </is>
      </c>
    </row>
    <row r="1528">
      <c r="Y1528" t="inlineStr">
        <is>
          <t>Sapuyes</t>
        </is>
      </c>
      <c r="Z1528" t="inlineStr">
        <is>
          <t>San Ignacio</t>
        </is>
      </c>
    </row>
    <row r="1529">
      <c r="Y1529" t="inlineStr">
        <is>
          <t>Sapuyes</t>
        </is>
      </c>
      <c r="Z1529" t="inlineStr">
        <is>
          <t>San Jorge</t>
        </is>
      </c>
    </row>
    <row r="1530">
      <c r="Y1530" t="inlineStr">
        <is>
          <t>Sapuyes</t>
        </is>
      </c>
      <c r="Z1530" t="inlineStr">
        <is>
          <t>Sapuyes</t>
        </is>
      </c>
    </row>
    <row r="1531">
      <c r="Y1531" t="inlineStr">
        <is>
          <t>Sapuyes</t>
        </is>
      </c>
      <c r="Z1531" t="inlineStr">
        <is>
          <t>Uribe</t>
        </is>
      </c>
    </row>
    <row r="1532">
      <c r="Y1532" t="inlineStr">
        <is>
          <t>Taminango</t>
        </is>
      </c>
      <c r="Z1532" t="inlineStr">
        <is>
          <t>Bellavista</t>
        </is>
      </c>
    </row>
    <row r="1533">
      <c r="Y1533" t="inlineStr">
        <is>
          <t>Taminango</t>
        </is>
      </c>
      <c r="Z1533" t="inlineStr">
        <is>
          <t>Chapungo</t>
        </is>
      </c>
    </row>
    <row r="1534">
      <c r="Y1534" t="inlineStr">
        <is>
          <t>Taminango</t>
        </is>
      </c>
      <c r="Z1534" t="inlineStr">
        <is>
          <t>Charguayaco</t>
        </is>
      </c>
    </row>
    <row r="1535">
      <c r="Y1535" t="inlineStr">
        <is>
          <t>Taminango</t>
        </is>
      </c>
      <c r="Z1535" t="inlineStr">
        <is>
          <t>Corneta</t>
        </is>
      </c>
    </row>
    <row r="1536">
      <c r="Y1536" t="inlineStr">
        <is>
          <t>Taminango</t>
        </is>
      </c>
      <c r="Z1536" t="inlineStr">
        <is>
          <t>Cumbal</t>
        </is>
      </c>
    </row>
    <row r="1537">
      <c r="Y1537" t="inlineStr">
        <is>
          <t>Taminango</t>
        </is>
      </c>
      <c r="Z1537" t="inlineStr">
        <is>
          <t>Curiaco</t>
        </is>
      </c>
    </row>
    <row r="1538">
      <c r="Y1538" t="inlineStr">
        <is>
          <t>Taminango</t>
        </is>
      </c>
      <c r="Z1538" t="inlineStr">
        <is>
          <t>Don Diego</t>
        </is>
      </c>
    </row>
    <row r="1539">
      <c r="Y1539" t="inlineStr">
        <is>
          <t>Taminango</t>
        </is>
      </c>
      <c r="Z1539" t="inlineStr">
        <is>
          <t>El Chilcal</t>
        </is>
      </c>
    </row>
    <row r="1540">
      <c r="Y1540" t="inlineStr">
        <is>
          <t>Taminango</t>
        </is>
      </c>
      <c r="Z1540" t="inlineStr">
        <is>
          <t>El Diviso</t>
        </is>
      </c>
    </row>
    <row r="1541">
      <c r="Y1541" t="inlineStr">
        <is>
          <t>Taminango</t>
        </is>
      </c>
      <c r="Z1541" t="inlineStr">
        <is>
          <t>El Hueco</t>
        </is>
      </c>
    </row>
    <row r="1542">
      <c r="Y1542" t="inlineStr">
        <is>
          <t>Taminango</t>
        </is>
      </c>
      <c r="Z1542" t="inlineStr">
        <is>
          <t>El Manzano</t>
        </is>
      </c>
    </row>
    <row r="1543">
      <c r="Y1543" t="inlineStr">
        <is>
          <t>Taminango</t>
        </is>
      </c>
      <c r="Z1543" t="inlineStr">
        <is>
          <t>El Pantano</t>
        </is>
      </c>
    </row>
    <row r="1544">
      <c r="Y1544" t="inlineStr">
        <is>
          <t>Taminango</t>
        </is>
      </c>
      <c r="Z1544" t="inlineStr">
        <is>
          <t>El Páramo</t>
        </is>
      </c>
    </row>
    <row r="1545">
      <c r="Y1545" t="inlineStr">
        <is>
          <t>Taminango</t>
        </is>
      </c>
      <c r="Z1545" t="inlineStr">
        <is>
          <t>El Platanal</t>
        </is>
      </c>
    </row>
    <row r="1546">
      <c r="Y1546" t="inlineStr">
        <is>
          <t>Taminango</t>
        </is>
      </c>
      <c r="Z1546" t="inlineStr">
        <is>
          <t>El Salado</t>
        </is>
      </c>
    </row>
    <row r="1547">
      <c r="Y1547" t="inlineStr">
        <is>
          <t>Taminango</t>
        </is>
      </c>
      <c r="Z1547" t="inlineStr">
        <is>
          <t>El Tablón</t>
        </is>
      </c>
    </row>
    <row r="1548">
      <c r="Y1548" t="inlineStr">
        <is>
          <t>Taminango</t>
        </is>
      </c>
      <c r="Z1548" t="inlineStr">
        <is>
          <t>Granada</t>
        </is>
      </c>
    </row>
    <row r="1549">
      <c r="Y1549" t="inlineStr">
        <is>
          <t>Taminango</t>
        </is>
      </c>
      <c r="Z1549" t="inlineStr">
        <is>
          <t>Guambuyaco</t>
        </is>
      </c>
    </row>
    <row r="1550">
      <c r="Y1550" t="inlineStr">
        <is>
          <t>Taminango</t>
        </is>
      </c>
      <c r="Z1550" t="inlineStr">
        <is>
          <t>La Cocha</t>
        </is>
      </c>
    </row>
    <row r="1551">
      <c r="Y1551" t="inlineStr">
        <is>
          <t>Taminango</t>
        </is>
      </c>
      <c r="Z1551" t="inlineStr">
        <is>
          <t>La Concordia</t>
        </is>
      </c>
    </row>
    <row r="1552">
      <c r="Y1552" t="inlineStr">
        <is>
          <t>Taminango</t>
        </is>
      </c>
      <c r="Z1552" t="inlineStr">
        <is>
          <t>La Llana</t>
        </is>
      </c>
    </row>
    <row r="1553">
      <c r="Y1553" t="inlineStr">
        <is>
          <t>Taminango</t>
        </is>
      </c>
      <c r="Z1553" t="inlineStr">
        <is>
          <t>La Palma</t>
        </is>
      </c>
    </row>
    <row r="1554">
      <c r="Y1554" t="inlineStr">
        <is>
          <t>Taminango</t>
        </is>
      </c>
      <c r="Z1554" t="inlineStr">
        <is>
          <t>Las Juntas</t>
        </is>
      </c>
    </row>
    <row r="1555">
      <c r="Y1555" t="inlineStr">
        <is>
          <t>Taminango</t>
        </is>
      </c>
      <c r="Z1555" t="inlineStr">
        <is>
          <t>Lecheral</t>
        </is>
      </c>
    </row>
    <row r="1556">
      <c r="Y1556" t="inlineStr">
        <is>
          <t>Taminango</t>
        </is>
      </c>
      <c r="Z1556" t="inlineStr">
        <is>
          <t>Limoncito</t>
        </is>
      </c>
    </row>
    <row r="1557">
      <c r="Y1557" t="inlineStr">
        <is>
          <t>Taminango</t>
        </is>
      </c>
      <c r="Z1557" t="inlineStr">
        <is>
          <t>Llano Verde</t>
        </is>
      </c>
    </row>
    <row r="1558">
      <c r="Y1558" t="inlineStr">
        <is>
          <t>Taminango</t>
        </is>
      </c>
      <c r="Z1558" t="inlineStr">
        <is>
          <t>Loma Larga</t>
        </is>
      </c>
    </row>
    <row r="1559">
      <c r="Y1559" t="inlineStr">
        <is>
          <t>Taminango</t>
        </is>
      </c>
      <c r="Z1559" t="inlineStr">
        <is>
          <t>Majuando</t>
        </is>
      </c>
    </row>
    <row r="1560">
      <c r="Y1560" t="inlineStr">
        <is>
          <t>Taminango</t>
        </is>
      </c>
      <c r="Z1560" t="inlineStr">
        <is>
          <t>Mamajuana</t>
        </is>
      </c>
    </row>
    <row r="1561">
      <c r="Y1561" t="inlineStr">
        <is>
          <t>Taminango</t>
        </is>
      </c>
      <c r="Z1561" t="inlineStr">
        <is>
          <t>Manipia</t>
        </is>
      </c>
    </row>
    <row r="1562">
      <c r="Y1562" t="inlineStr">
        <is>
          <t>Taminango</t>
        </is>
      </c>
      <c r="Z1562" t="inlineStr">
        <is>
          <t>Mexico</t>
        </is>
      </c>
    </row>
    <row r="1563">
      <c r="Y1563" t="inlineStr">
        <is>
          <t>Taminango</t>
        </is>
      </c>
      <c r="Z1563" t="inlineStr">
        <is>
          <t>Palobobo</t>
        </is>
      </c>
    </row>
    <row r="1564">
      <c r="Y1564" t="inlineStr">
        <is>
          <t>Taminango</t>
        </is>
      </c>
      <c r="Z1564" t="inlineStr">
        <is>
          <t>Panoya</t>
        </is>
      </c>
    </row>
    <row r="1565">
      <c r="Y1565" t="inlineStr">
        <is>
          <t>Taminango</t>
        </is>
      </c>
      <c r="Z1565" t="inlineStr">
        <is>
          <t>Papayal</t>
        </is>
      </c>
    </row>
    <row r="1566">
      <c r="Y1566" t="inlineStr">
        <is>
          <t>Taminango</t>
        </is>
      </c>
      <c r="Z1566" t="inlineStr">
        <is>
          <t>Pasofeo</t>
        </is>
      </c>
    </row>
    <row r="1567">
      <c r="Y1567" t="inlineStr">
        <is>
          <t>Taminango</t>
        </is>
      </c>
      <c r="Z1567" t="inlineStr">
        <is>
          <t>Remolino</t>
        </is>
      </c>
    </row>
    <row r="1568">
      <c r="Y1568" t="inlineStr">
        <is>
          <t>Taminango</t>
        </is>
      </c>
      <c r="Z1568" t="inlineStr">
        <is>
          <t>San Isidro</t>
        </is>
      </c>
    </row>
    <row r="1569">
      <c r="Y1569" t="inlineStr">
        <is>
          <t>Taminango</t>
        </is>
      </c>
      <c r="Z1569" t="inlineStr">
        <is>
          <t>Taminango</t>
        </is>
      </c>
    </row>
    <row r="1570">
      <c r="Y1570" t="inlineStr">
        <is>
          <t>Taminango</t>
        </is>
      </c>
      <c r="Z1570" t="inlineStr">
        <is>
          <t>Taminanguito</t>
        </is>
      </c>
    </row>
    <row r="1571">
      <c r="Y1571" t="inlineStr">
        <is>
          <t>Taminango</t>
        </is>
      </c>
      <c r="Z1571" t="inlineStr">
        <is>
          <t>Turbambilla</t>
        </is>
      </c>
    </row>
    <row r="1572">
      <c r="Y1572" t="inlineStr">
        <is>
          <t>Taminango</t>
        </is>
      </c>
      <c r="Z1572" t="inlineStr">
        <is>
          <t>Viento Libre</t>
        </is>
      </c>
    </row>
    <row r="1573">
      <c r="Y1573" t="inlineStr">
        <is>
          <t>Tangua</t>
        </is>
      </c>
      <c r="Z1573" t="inlineStr">
        <is>
          <t>Birmania</t>
        </is>
      </c>
    </row>
    <row r="1574">
      <c r="Y1574" t="inlineStr">
        <is>
          <t>Tangua</t>
        </is>
      </c>
      <c r="Z1574" t="inlineStr">
        <is>
          <t>Buena Esperanza</t>
        </is>
      </c>
    </row>
    <row r="1575">
      <c r="Y1575" t="inlineStr">
        <is>
          <t>Tangua</t>
        </is>
      </c>
      <c r="Z1575" t="inlineStr">
        <is>
          <t>Chavez</t>
        </is>
      </c>
    </row>
    <row r="1576">
      <c r="Y1576" t="inlineStr">
        <is>
          <t>Tangua</t>
        </is>
      </c>
      <c r="Z1576" t="inlineStr">
        <is>
          <t>Cocha Verede</t>
        </is>
      </c>
    </row>
    <row r="1577">
      <c r="Y1577" t="inlineStr">
        <is>
          <t>Tangua</t>
        </is>
      </c>
      <c r="Z1577" t="inlineStr">
        <is>
          <t>El Cebadal</t>
        </is>
      </c>
    </row>
    <row r="1578">
      <c r="Y1578" t="inlineStr">
        <is>
          <t>Tangua</t>
        </is>
      </c>
      <c r="Z1578" t="inlineStr">
        <is>
          <t>El Paramo</t>
        </is>
      </c>
    </row>
    <row r="1579">
      <c r="Y1579" t="inlineStr">
        <is>
          <t>Tangua</t>
        </is>
      </c>
      <c r="Z1579" t="inlineStr">
        <is>
          <t>El Tablon</t>
        </is>
      </c>
    </row>
    <row r="1580">
      <c r="Y1580" t="inlineStr">
        <is>
          <t>Tangua</t>
        </is>
      </c>
      <c r="Z1580" t="inlineStr">
        <is>
          <t>El Tambor</t>
        </is>
      </c>
    </row>
    <row r="1581">
      <c r="Y1581" t="inlineStr">
        <is>
          <t>Tangua</t>
        </is>
      </c>
      <c r="Z1581" t="inlineStr">
        <is>
          <t>El Tamborcillo</t>
        </is>
      </c>
    </row>
    <row r="1582">
      <c r="Y1582" t="inlineStr">
        <is>
          <t>Tangua</t>
        </is>
      </c>
      <c r="Z1582" t="inlineStr">
        <is>
          <t>Gauyabal</t>
        </is>
      </c>
    </row>
    <row r="1583">
      <c r="Y1583" t="inlineStr">
        <is>
          <t>Tangua</t>
        </is>
      </c>
      <c r="Z1583" t="inlineStr">
        <is>
          <t>La Cocha</t>
        </is>
      </c>
    </row>
    <row r="1584">
      <c r="Y1584" t="inlineStr">
        <is>
          <t>Tangua</t>
        </is>
      </c>
      <c r="Z1584" t="inlineStr">
        <is>
          <t>La Concepción</t>
        </is>
      </c>
    </row>
    <row r="1585">
      <c r="Y1585" t="inlineStr">
        <is>
          <t>Tangua</t>
        </is>
      </c>
      <c r="Z1585" t="inlineStr">
        <is>
          <t>La Palizada</t>
        </is>
      </c>
    </row>
    <row r="1586">
      <c r="Y1586" t="inlineStr">
        <is>
          <t>Tangua</t>
        </is>
      </c>
      <c r="Z1586" t="inlineStr">
        <is>
          <t>Las Palmas</t>
        </is>
      </c>
    </row>
    <row r="1587">
      <c r="Y1587" t="inlineStr">
        <is>
          <t>Tangua</t>
        </is>
      </c>
      <c r="Z1587" t="inlineStr">
        <is>
          <t>Las Piedras</t>
        </is>
      </c>
    </row>
    <row r="1588">
      <c r="Y1588" t="inlineStr">
        <is>
          <t>Tangua</t>
        </is>
      </c>
      <c r="Z1588" t="inlineStr">
        <is>
          <t>Los Ajos</t>
        </is>
      </c>
    </row>
    <row r="1589">
      <c r="Y1589" t="inlineStr">
        <is>
          <t>Tangua</t>
        </is>
      </c>
      <c r="Z1589" t="inlineStr">
        <is>
          <t>Marqueza Alto</t>
        </is>
      </c>
    </row>
    <row r="1590">
      <c r="Y1590" t="inlineStr">
        <is>
          <t>Tangua</t>
        </is>
      </c>
      <c r="Z1590" t="inlineStr">
        <is>
          <t>Marqueza Bajo</t>
        </is>
      </c>
    </row>
    <row r="1591">
      <c r="Y1591" t="inlineStr">
        <is>
          <t>Tangua</t>
        </is>
      </c>
      <c r="Z1591" t="inlineStr">
        <is>
          <t>Nazcan</t>
        </is>
      </c>
    </row>
    <row r="1592">
      <c r="Y1592" t="inlineStr">
        <is>
          <t>Tangua</t>
        </is>
      </c>
      <c r="Z1592" t="inlineStr">
        <is>
          <t>Paramillo</t>
        </is>
      </c>
    </row>
    <row r="1593">
      <c r="Y1593" t="inlineStr">
        <is>
          <t>Tangua</t>
        </is>
      </c>
      <c r="Z1593" t="inlineStr">
        <is>
          <t>Paramo el Tauso</t>
        </is>
      </c>
    </row>
    <row r="1594">
      <c r="Y1594" t="inlineStr">
        <is>
          <t>Tangua</t>
        </is>
      </c>
      <c r="Z1594" t="inlineStr">
        <is>
          <t>Providencia</t>
        </is>
      </c>
    </row>
    <row r="1595">
      <c r="Y1595" t="inlineStr">
        <is>
          <t>Tangua</t>
        </is>
      </c>
      <c r="Z1595" t="inlineStr">
        <is>
          <t>San Francisco</t>
        </is>
      </c>
    </row>
    <row r="1596">
      <c r="Y1596" t="inlineStr">
        <is>
          <t>Tangua</t>
        </is>
      </c>
      <c r="Z1596" t="inlineStr">
        <is>
          <t>San Luis Bajo</t>
        </is>
      </c>
    </row>
    <row r="1597">
      <c r="Y1597" t="inlineStr">
        <is>
          <t>Tangua</t>
        </is>
      </c>
      <c r="Z1597" t="inlineStr">
        <is>
          <t>San Pedro</t>
        </is>
      </c>
    </row>
    <row r="1598">
      <c r="Y1598" t="inlineStr">
        <is>
          <t>Tangua</t>
        </is>
      </c>
      <c r="Z1598" t="inlineStr">
        <is>
          <t>San Rafael</t>
        </is>
      </c>
    </row>
    <row r="1599">
      <c r="Y1599" t="inlineStr">
        <is>
          <t>Tangua</t>
        </is>
      </c>
      <c r="Z1599" t="inlineStr">
        <is>
          <t>San Vicente</t>
        </is>
      </c>
    </row>
    <row r="1600">
      <c r="Y1600" t="inlineStr">
        <is>
          <t>Tangua</t>
        </is>
      </c>
      <c r="Z1600" t="inlineStr">
        <is>
          <t>Santa Rosalia</t>
        </is>
      </c>
    </row>
    <row r="1601">
      <c r="Y1601" t="inlineStr">
        <is>
          <t>Tangua</t>
        </is>
      </c>
      <c r="Z1601" t="inlineStr">
        <is>
          <t>Santander</t>
        </is>
      </c>
    </row>
    <row r="1602">
      <c r="Y1602" t="inlineStr">
        <is>
          <t>Tangua</t>
        </is>
      </c>
      <c r="Z1602" t="inlineStr">
        <is>
          <t>Siquitan</t>
        </is>
      </c>
    </row>
    <row r="1603">
      <c r="Y1603" t="inlineStr">
        <is>
          <t>Tangua</t>
        </is>
      </c>
      <c r="Z1603" t="inlineStr">
        <is>
          <t>Tapialquer Alto</t>
        </is>
      </c>
    </row>
    <row r="1604">
      <c r="Y1604" t="inlineStr">
        <is>
          <t>Tangua</t>
        </is>
      </c>
      <c r="Z1604" t="inlineStr">
        <is>
          <t>Tapialquer Bajio</t>
        </is>
      </c>
    </row>
    <row r="1605">
      <c r="Y1605" t="inlineStr">
        <is>
          <t>Tangua</t>
        </is>
      </c>
      <c r="Z1605" t="inlineStr">
        <is>
          <t>Tapialquier Medio</t>
        </is>
      </c>
    </row>
    <row r="1606">
      <c r="Y1606" t="inlineStr">
        <is>
          <t>Tangua</t>
        </is>
      </c>
      <c r="Z1606" t="inlineStr">
        <is>
          <t>Vergel</t>
        </is>
      </c>
    </row>
    <row r="1607">
      <c r="Y1607" t="inlineStr">
        <is>
          <t>Túquerres</t>
        </is>
      </c>
      <c r="Z1607" t="inlineStr">
        <is>
          <t>Alban</t>
        </is>
      </c>
    </row>
    <row r="1608">
      <c r="Y1608" t="inlineStr">
        <is>
          <t>Túquerres</t>
        </is>
      </c>
      <c r="Z1608" t="inlineStr">
        <is>
          <t>Alpan Potrerillos</t>
        </is>
      </c>
    </row>
    <row r="1609">
      <c r="Y1609" t="inlineStr">
        <is>
          <t>Túquerres</t>
        </is>
      </c>
      <c r="Z1609" t="inlineStr">
        <is>
          <t>Arrayan de Yascul</t>
        </is>
      </c>
    </row>
    <row r="1610">
      <c r="Y1610" t="inlineStr">
        <is>
          <t>Túquerres</t>
        </is>
      </c>
      <c r="Z1610" t="inlineStr">
        <is>
          <t>Buena Vista</t>
        </is>
      </c>
    </row>
    <row r="1611">
      <c r="Y1611" t="inlineStr">
        <is>
          <t>Túquerres</t>
        </is>
      </c>
      <c r="Z1611" t="inlineStr">
        <is>
          <t>Chalitala</t>
        </is>
      </c>
    </row>
    <row r="1612">
      <c r="Y1612" t="inlineStr">
        <is>
          <t>Túquerres</t>
        </is>
      </c>
      <c r="Z1612" t="inlineStr">
        <is>
          <t>Chanarro Alto</t>
        </is>
      </c>
    </row>
    <row r="1613">
      <c r="Y1613" t="inlineStr">
        <is>
          <t>Túquerres</t>
        </is>
      </c>
      <c r="Z1613" t="inlineStr">
        <is>
          <t>Chanarro Bajo</t>
        </is>
      </c>
    </row>
    <row r="1614">
      <c r="Y1614" t="inlineStr">
        <is>
          <t>Túquerres</t>
        </is>
      </c>
      <c r="Z1614" t="inlineStr">
        <is>
          <t>Cofradia</t>
        </is>
      </c>
    </row>
    <row r="1615">
      <c r="Y1615" t="inlineStr">
        <is>
          <t>Túquerres</t>
        </is>
      </c>
      <c r="Z1615" t="inlineStr">
        <is>
          <t>Cuetampe</t>
        </is>
      </c>
    </row>
    <row r="1616">
      <c r="Y1616" t="inlineStr">
        <is>
          <t>Túquerres</t>
        </is>
      </c>
      <c r="Z1616" t="inlineStr">
        <is>
          <t>Dos Quebrada</t>
        </is>
      </c>
    </row>
    <row r="1617">
      <c r="Y1617" t="inlineStr">
        <is>
          <t>Túquerres</t>
        </is>
      </c>
      <c r="Z1617" t="inlineStr">
        <is>
          <t>El Cerrito Quitasol</t>
        </is>
      </c>
    </row>
    <row r="1618">
      <c r="Y1618" t="inlineStr">
        <is>
          <t>Túquerres</t>
        </is>
      </c>
      <c r="Z1618" t="inlineStr">
        <is>
          <t>El Chungel</t>
        </is>
      </c>
    </row>
    <row r="1619">
      <c r="Y1619" t="inlineStr">
        <is>
          <t>Túquerres</t>
        </is>
      </c>
      <c r="Z1619" t="inlineStr">
        <is>
          <t>El Escritorio</t>
        </is>
      </c>
    </row>
    <row r="1620">
      <c r="Y1620" t="inlineStr">
        <is>
          <t>Túquerres</t>
        </is>
      </c>
      <c r="Z1620" t="inlineStr">
        <is>
          <t>El Palcer</t>
        </is>
      </c>
    </row>
    <row r="1621">
      <c r="Y1621" t="inlineStr">
        <is>
          <t>Túquerres</t>
        </is>
      </c>
      <c r="Z1621" t="inlineStr">
        <is>
          <t>El Pescadillo</t>
        </is>
      </c>
    </row>
    <row r="1622">
      <c r="Y1622" t="inlineStr">
        <is>
          <t>Túquerres</t>
        </is>
      </c>
      <c r="Z1622" t="inlineStr">
        <is>
          <t>El Salado</t>
        </is>
      </c>
    </row>
    <row r="1623">
      <c r="Y1623" t="inlineStr">
        <is>
          <t>Túquerres</t>
        </is>
      </c>
      <c r="Z1623" t="inlineStr">
        <is>
          <t>El Socorro</t>
        </is>
      </c>
    </row>
    <row r="1624">
      <c r="Y1624" t="inlineStr">
        <is>
          <t>Túquerres</t>
        </is>
      </c>
      <c r="Z1624" t="inlineStr">
        <is>
          <t>Esnambu</t>
        </is>
      </c>
    </row>
    <row r="1625">
      <c r="Y1625" t="inlineStr">
        <is>
          <t>Túquerres</t>
        </is>
      </c>
      <c r="Z1625" t="inlineStr">
        <is>
          <t>Guanama</t>
        </is>
      </c>
    </row>
    <row r="1626">
      <c r="Y1626" t="inlineStr">
        <is>
          <t>Túquerres</t>
        </is>
      </c>
      <c r="Z1626" t="inlineStr">
        <is>
          <t>Guanguezan</t>
        </is>
      </c>
    </row>
    <row r="1627">
      <c r="Y1627" t="inlineStr">
        <is>
          <t>Túquerres</t>
        </is>
      </c>
      <c r="Z1627" t="inlineStr">
        <is>
          <t>Guaramuez</t>
        </is>
      </c>
    </row>
    <row r="1628">
      <c r="Y1628" t="inlineStr">
        <is>
          <t>Túquerres</t>
        </is>
      </c>
      <c r="Z1628" t="inlineStr">
        <is>
          <t>Guasi</t>
        </is>
      </c>
    </row>
    <row r="1629">
      <c r="Y1629" t="inlineStr">
        <is>
          <t>Túquerres</t>
        </is>
      </c>
      <c r="Z1629" t="inlineStr">
        <is>
          <t>Hueco de Moras</t>
        </is>
      </c>
    </row>
    <row r="1630">
      <c r="Y1630" t="inlineStr">
        <is>
          <t>Túquerres</t>
        </is>
      </c>
      <c r="Z1630" t="inlineStr">
        <is>
          <t>Igua</t>
        </is>
      </c>
    </row>
    <row r="1631">
      <c r="Y1631" t="inlineStr">
        <is>
          <t>Túquerres</t>
        </is>
      </c>
      <c r="Z1631" t="inlineStr">
        <is>
          <t>La Acequia</t>
        </is>
      </c>
    </row>
    <row r="1632">
      <c r="Y1632" t="inlineStr">
        <is>
          <t>Túquerres</t>
        </is>
      </c>
      <c r="Z1632" t="inlineStr">
        <is>
          <t>La Encillada</t>
        </is>
      </c>
    </row>
    <row r="1633">
      <c r="Y1633" t="inlineStr">
        <is>
          <t>Túquerres</t>
        </is>
      </c>
      <c r="Z1633" t="inlineStr">
        <is>
          <t>La Flor</t>
        </is>
      </c>
    </row>
    <row r="1634">
      <c r="Y1634" t="inlineStr">
        <is>
          <t>Túquerres</t>
        </is>
      </c>
      <c r="Z1634" t="inlineStr">
        <is>
          <t>La Floresta</t>
        </is>
      </c>
    </row>
    <row r="1635">
      <c r="Y1635" t="inlineStr">
        <is>
          <t>Túquerres</t>
        </is>
      </c>
      <c r="Z1635" t="inlineStr">
        <is>
          <t>La Florida</t>
        </is>
      </c>
    </row>
    <row r="1636">
      <c r="Y1636" t="inlineStr">
        <is>
          <t>Túquerres</t>
        </is>
      </c>
      <c r="Z1636" t="inlineStr">
        <is>
          <t>La Guayaquilla</t>
        </is>
      </c>
    </row>
    <row r="1637">
      <c r="Y1637" t="inlineStr">
        <is>
          <t>Túquerres</t>
        </is>
      </c>
      <c r="Z1637" t="inlineStr">
        <is>
          <t>La Jardinera</t>
        </is>
      </c>
    </row>
    <row r="1638">
      <c r="Y1638" t="inlineStr">
        <is>
          <t>Túquerres</t>
        </is>
      </c>
      <c r="Z1638" t="inlineStr">
        <is>
          <t>La Laguna</t>
        </is>
      </c>
    </row>
    <row r="1639">
      <c r="Y1639" t="inlineStr">
        <is>
          <t>Túquerres</t>
        </is>
      </c>
      <c r="Z1639" t="inlineStr">
        <is>
          <t>La Palma</t>
        </is>
      </c>
    </row>
    <row r="1640">
      <c r="Y1640" t="inlineStr">
        <is>
          <t>Túquerres</t>
        </is>
      </c>
      <c r="Z1640" t="inlineStr">
        <is>
          <t>Las Cienagas</t>
        </is>
      </c>
    </row>
    <row r="1641">
      <c r="Y1641" t="inlineStr">
        <is>
          <t>Túquerres</t>
        </is>
      </c>
      <c r="Z1641" t="inlineStr">
        <is>
          <t>Las Delicias</t>
        </is>
      </c>
    </row>
    <row r="1642">
      <c r="Y1642" t="inlineStr">
        <is>
          <t>Túquerres</t>
        </is>
      </c>
      <c r="Z1642" t="inlineStr">
        <is>
          <t>Las Minas</t>
        </is>
      </c>
    </row>
    <row r="1643">
      <c r="Y1643" t="inlineStr">
        <is>
          <t>Túquerres</t>
        </is>
      </c>
      <c r="Z1643" t="inlineStr">
        <is>
          <t>Loma Larga</t>
        </is>
      </c>
    </row>
    <row r="1644">
      <c r="Y1644" t="inlineStr">
        <is>
          <t>Túquerres</t>
        </is>
      </c>
      <c r="Z1644" t="inlineStr">
        <is>
          <t>Los Arrayanes</t>
        </is>
      </c>
    </row>
    <row r="1645">
      <c r="Y1645" t="inlineStr">
        <is>
          <t>Túquerres</t>
        </is>
      </c>
      <c r="Z1645" t="inlineStr">
        <is>
          <t>Manzano Alto</t>
        </is>
      </c>
    </row>
    <row r="1646">
      <c r="Y1646" t="inlineStr">
        <is>
          <t>Túquerres</t>
        </is>
      </c>
      <c r="Z1646" t="inlineStr">
        <is>
          <t>Manzano Bajo</t>
        </is>
      </c>
    </row>
    <row r="1647">
      <c r="Y1647" t="inlineStr">
        <is>
          <t>Túquerres</t>
        </is>
      </c>
      <c r="Z1647" t="inlineStr">
        <is>
          <t>Michul Cuasamira</t>
        </is>
      </c>
    </row>
    <row r="1648">
      <c r="Y1648" t="inlineStr">
        <is>
          <t>Túquerres</t>
        </is>
      </c>
      <c r="Z1648" t="inlineStr">
        <is>
          <t>Muerchag</t>
        </is>
      </c>
    </row>
    <row r="1649">
      <c r="Y1649" t="inlineStr">
        <is>
          <t>Túquerres</t>
        </is>
      </c>
      <c r="Z1649" t="inlineStr">
        <is>
          <t>Nangan</t>
        </is>
      </c>
    </row>
    <row r="1650">
      <c r="Y1650" t="inlineStr">
        <is>
          <t>Túquerres</t>
        </is>
      </c>
      <c r="Z1650" t="inlineStr">
        <is>
          <t>Nueva Granada</t>
        </is>
      </c>
    </row>
    <row r="1651">
      <c r="Y1651" t="inlineStr">
        <is>
          <t>Túquerres</t>
        </is>
      </c>
      <c r="Z1651" t="inlineStr">
        <is>
          <t>Olaya</t>
        </is>
      </c>
    </row>
    <row r="1652">
      <c r="Y1652" t="inlineStr">
        <is>
          <t>Túquerres</t>
        </is>
      </c>
      <c r="Z1652" t="inlineStr">
        <is>
          <t>Payacas</t>
        </is>
      </c>
    </row>
    <row r="1653">
      <c r="Y1653" t="inlineStr">
        <is>
          <t>Túquerres</t>
        </is>
      </c>
      <c r="Z1653" t="inlineStr">
        <is>
          <t>Pescadillo de Tuquerres</t>
        </is>
      </c>
    </row>
    <row r="1654">
      <c r="Y1654" t="inlineStr">
        <is>
          <t>Túquerres</t>
        </is>
      </c>
      <c r="Z1654" t="inlineStr">
        <is>
          <t>Pinzon</t>
        </is>
      </c>
    </row>
    <row r="1655">
      <c r="Y1655" t="inlineStr">
        <is>
          <t>Túquerres</t>
        </is>
      </c>
      <c r="Z1655" t="inlineStr">
        <is>
          <t>Pueblo Nuevo</t>
        </is>
      </c>
    </row>
    <row r="1656">
      <c r="Y1656" t="inlineStr">
        <is>
          <t>Túquerres</t>
        </is>
      </c>
      <c r="Z1656" t="inlineStr">
        <is>
          <t>Puente Alto</t>
        </is>
      </c>
    </row>
    <row r="1657">
      <c r="Y1657" t="inlineStr">
        <is>
          <t>Túquerres</t>
        </is>
      </c>
      <c r="Z1657" t="inlineStr">
        <is>
          <t>Pueranquer</t>
        </is>
      </c>
    </row>
    <row r="1658">
      <c r="Y1658" t="inlineStr">
        <is>
          <t>Túquerres</t>
        </is>
      </c>
      <c r="Z1658" t="inlineStr">
        <is>
          <t>Quebrada Oscura</t>
        </is>
      </c>
    </row>
    <row r="1659">
      <c r="Y1659" t="inlineStr">
        <is>
          <t>Túquerres</t>
        </is>
      </c>
      <c r="Z1659" t="inlineStr">
        <is>
          <t>Rancho Grande</t>
        </is>
      </c>
    </row>
    <row r="1660">
      <c r="Y1660" t="inlineStr">
        <is>
          <t>Túquerres</t>
        </is>
      </c>
      <c r="Z1660" t="inlineStr">
        <is>
          <t>Rosario Pamba</t>
        </is>
      </c>
    </row>
    <row r="1661">
      <c r="Y1661" t="inlineStr">
        <is>
          <t>Túquerres</t>
        </is>
      </c>
      <c r="Z1661" t="inlineStr">
        <is>
          <t>San Antonio</t>
        </is>
      </c>
    </row>
    <row r="1662">
      <c r="Y1662" t="inlineStr">
        <is>
          <t>Túquerres</t>
        </is>
      </c>
      <c r="Z1662" t="inlineStr">
        <is>
          <t>San Carlos Cuatro Esquinas</t>
        </is>
      </c>
    </row>
    <row r="1663">
      <c r="Y1663" t="inlineStr">
        <is>
          <t>Túquerres</t>
        </is>
      </c>
      <c r="Z1663" t="inlineStr">
        <is>
          <t>San Gabriel</t>
        </is>
      </c>
    </row>
    <row r="1664">
      <c r="Y1664" t="inlineStr">
        <is>
          <t>Túquerres</t>
        </is>
      </c>
      <c r="Z1664" t="inlineStr">
        <is>
          <t>San José</t>
        </is>
      </c>
    </row>
    <row r="1665">
      <c r="Y1665" t="inlineStr">
        <is>
          <t>Túquerres</t>
        </is>
      </c>
      <c r="Z1665" t="inlineStr">
        <is>
          <t>San José del Alpan</t>
        </is>
      </c>
    </row>
    <row r="1666">
      <c r="Y1666" t="inlineStr">
        <is>
          <t>Túquerres</t>
        </is>
      </c>
      <c r="Z1666" t="inlineStr">
        <is>
          <t>San José el Partidero</t>
        </is>
      </c>
    </row>
    <row r="1667">
      <c r="Y1667" t="inlineStr">
        <is>
          <t>Túquerres</t>
        </is>
      </c>
      <c r="Z1667" t="inlineStr">
        <is>
          <t>San Roque Alto</t>
        </is>
      </c>
    </row>
    <row r="1668">
      <c r="Y1668" t="inlineStr">
        <is>
          <t>Túquerres</t>
        </is>
      </c>
      <c r="Z1668" t="inlineStr">
        <is>
          <t>San Roque Bajo</t>
        </is>
      </c>
    </row>
    <row r="1669">
      <c r="Y1669" t="inlineStr">
        <is>
          <t>Túquerres</t>
        </is>
      </c>
      <c r="Z1669" t="inlineStr">
        <is>
          <t>San Sebastian</t>
        </is>
      </c>
    </row>
    <row r="1670">
      <c r="Y1670" t="inlineStr">
        <is>
          <t>Túquerres</t>
        </is>
      </c>
      <c r="Z1670" t="inlineStr">
        <is>
          <t>Santa Cecilia</t>
        </is>
      </c>
    </row>
    <row r="1671">
      <c r="Y1671" t="inlineStr">
        <is>
          <t>Túquerres</t>
        </is>
      </c>
      <c r="Z1671" t="inlineStr">
        <is>
          <t>Santa Isabel</t>
        </is>
      </c>
    </row>
    <row r="1672">
      <c r="Y1672" t="inlineStr">
        <is>
          <t>Túquerres</t>
        </is>
      </c>
      <c r="Z1672" t="inlineStr">
        <is>
          <t>Santa Rosa</t>
        </is>
      </c>
    </row>
    <row r="1673">
      <c r="Y1673" t="inlineStr">
        <is>
          <t>Túquerres</t>
        </is>
      </c>
      <c r="Z1673" t="inlineStr">
        <is>
          <t>Taindes</t>
        </is>
      </c>
    </row>
    <row r="1674">
      <c r="Y1674" t="inlineStr">
        <is>
          <t>Túquerres</t>
        </is>
      </c>
      <c r="Z1674" t="inlineStr">
        <is>
          <t>Tutachag Alto</t>
        </is>
      </c>
    </row>
    <row r="1675">
      <c r="Y1675" t="inlineStr">
        <is>
          <t>Túquerres</t>
        </is>
      </c>
      <c r="Z1675" t="inlineStr">
        <is>
          <t>Tutachag Bajo</t>
        </is>
      </c>
    </row>
    <row r="1676">
      <c r="Y1676" t="inlineStr">
        <is>
          <t>Túquerres</t>
        </is>
      </c>
      <c r="Z1676" t="inlineStr">
        <is>
          <t>Villanueva</t>
        </is>
      </c>
    </row>
    <row r="1677">
      <c r="Y1677" t="inlineStr">
        <is>
          <t>Yacuanquer</t>
        </is>
      </c>
      <c r="Z1677" t="inlineStr">
        <is>
          <t>Aguada</t>
        </is>
      </c>
    </row>
    <row r="1678">
      <c r="Y1678" t="inlineStr">
        <is>
          <t>Yacuanquer</t>
        </is>
      </c>
      <c r="Z1678" t="inlineStr">
        <is>
          <t>Arguello</t>
        </is>
      </c>
    </row>
    <row r="1679">
      <c r="Y1679" t="inlineStr">
        <is>
          <t>Yacuanquer</t>
        </is>
      </c>
      <c r="Z1679" t="inlineStr">
        <is>
          <t>Chapacual</t>
        </is>
      </c>
    </row>
    <row r="1680">
      <c r="Y1680" t="inlineStr">
        <is>
          <t>Yacuanquer</t>
        </is>
      </c>
      <c r="Z1680" t="inlineStr">
        <is>
          <t>Cordoba</t>
        </is>
      </c>
    </row>
    <row r="1681">
      <c r="Y1681" t="inlineStr">
        <is>
          <t>Yacuanquer</t>
        </is>
      </c>
      <c r="Z1681" t="inlineStr">
        <is>
          <t>El Rosario</t>
        </is>
      </c>
    </row>
    <row r="1682">
      <c r="Y1682" t="inlineStr">
        <is>
          <t>Yacuanquer</t>
        </is>
      </c>
      <c r="Z1682" t="inlineStr">
        <is>
          <t>Estancia</t>
        </is>
      </c>
    </row>
    <row r="1683">
      <c r="Y1683" t="inlineStr">
        <is>
          <t>Yacuanquer</t>
        </is>
      </c>
      <c r="Z1683" t="inlineStr">
        <is>
          <t>Inantas</t>
        </is>
      </c>
    </row>
    <row r="1684">
      <c r="Y1684" t="inlineStr">
        <is>
          <t>Yacuanquer</t>
        </is>
      </c>
      <c r="Z1684" t="inlineStr">
        <is>
          <t>La Cocha</t>
        </is>
      </c>
    </row>
    <row r="1685">
      <c r="Y1685" t="inlineStr">
        <is>
          <t>Yacuanquer</t>
        </is>
      </c>
      <c r="Z1685" t="inlineStr">
        <is>
          <t>La Guaca</t>
        </is>
      </c>
    </row>
    <row r="1686">
      <c r="Y1686" t="inlineStr">
        <is>
          <t>Yacuanquer</t>
        </is>
      </c>
      <c r="Z1686" t="inlineStr">
        <is>
          <t>La Pradera</t>
        </is>
      </c>
    </row>
    <row r="1687">
      <c r="Y1687" t="inlineStr">
        <is>
          <t>Yacuanquer</t>
        </is>
      </c>
      <c r="Z1687" t="inlineStr">
        <is>
          <t>Mejia</t>
        </is>
      </c>
    </row>
    <row r="1688">
      <c r="Y1688" t="inlineStr">
        <is>
          <t>Yacuanquer</t>
        </is>
      </c>
      <c r="Z1688" t="inlineStr">
        <is>
          <t>Minda</t>
        </is>
      </c>
    </row>
    <row r="1689">
      <c r="Y1689" t="inlineStr">
        <is>
          <t>Yacuanquer</t>
        </is>
      </c>
      <c r="Z1689" t="inlineStr">
        <is>
          <t>Mohechiza</t>
        </is>
      </c>
    </row>
    <row r="1690">
      <c r="Y1690" t="inlineStr">
        <is>
          <t>Yacuanquer</t>
        </is>
      </c>
      <c r="Z1690" t="inlineStr">
        <is>
          <t>San Felipe</t>
        </is>
      </c>
    </row>
    <row r="1691">
      <c r="Y1691" t="inlineStr">
        <is>
          <t>Yacuanquer</t>
        </is>
      </c>
      <c r="Z1691" t="inlineStr">
        <is>
          <t>Tacuaya</t>
        </is>
      </c>
    </row>
    <row r="1692">
      <c r="Y1692" t="inlineStr">
        <is>
          <t>Yacuanquer</t>
        </is>
      </c>
      <c r="Z1692" t="inlineStr">
        <is>
          <t>Taidala</t>
        </is>
      </c>
    </row>
    <row r="1693">
      <c r="Y1693" t="inlineStr">
        <is>
          <t>Yacuanquer</t>
        </is>
      </c>
      <c r="Z1693" t="inlineStr">
        <is>
          <t>Tasnaque</t>
        </is>
      </c>
    </row>
    <row r="1694">
      <c r="Y1694" t="inlineStr">
        <is>
          <t>Yacuanquer</t>
        </is>
      </c>
      <c r="Z1694" t="inlineStr">
        <is>
          <t>Zaragoza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2026-10-23T23:40:52Z</dcterms:created>
  <dcterms:modified xmlns:dcterms="http://purl.org/dc/terms/" xmlns:xsi="http://www.w3.org/2001/XMLSchema-instance" xsi:type="dcterms:W3CDTF">2026-10-23T23:40:54Z</dcterms:modified>
</cp:coreProperties>
</file>